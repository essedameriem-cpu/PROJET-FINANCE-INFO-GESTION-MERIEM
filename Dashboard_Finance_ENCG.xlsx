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3.xml" ContentType="application/vnd.openxmlformats-officedocument.drawingml.chart+xml"/>
  <Override PartName="/xl/charts/chart8.xml" ContentType="application/vnd.openxmlformats-officedocument.drawingml.chart+xml"/>
  <Override PartName="/xl/charts/chart12.xml" ContentType="application/vnd.openxmlformats-officedocument.drawingml.chart+xml"/>
  <Override PartName="/xl/charts/chart17.xml" ContentType="application/vnd.openxmlformats-officedocument.drawingml.chart+xml"/>
  <Override PartName="/xl/charts/chart16.xml" ContentType="application/vnd.openxmlformats-officedocument.drawingml.chart+xml"/>
  <Override PartName="/xl/charts/chart15.xml" ContentType="application/vnd.openxmlformats-officedocument.drawingml.chart+xml"/>
  <Override PartName="/xl/charts/chart14.xml" ContentType="application/vnd.openxmlformats-officedocument.drawingml.char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10.xml" ContentType="application/vnd.openxmlformats-officedocument.drawingml.chart+xml"/>
  <Override PartName="/xl/charts/chart6.xml" ContentType="application/vnd.openxmlformats-officedocument.drawingml.chart+xml"/>
  <Override PartName="/xl/charts/chart11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ONNEES BRUTES" sheetId="2" state="visible" r:id="rId4"/>
    <sheet name="REPARTITIONS" sheetId="3" state="visible" r:id="rId5"/>
    <sheet name="SCORES ET PREFERENCES" sheetId="4" state="visible" r:id="rId6"/>
    <sheet name="RAISONS ET SOURCES" sheetId="5" state="visible" r:id="rId7"/>
    <sheet name="ANALYSE PAR GENRE" sheetId="6" state="visible" r:id="rId8"/>
    <sheet name="AGE ET FACTEUR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<sst xmlns="http://schemas.openxmlformats.org/spreadsheetml/2006/main" count="932" uniqueCount="205">
  <si>
    <t xml:space="preserve">ANALYSE DES COMPORTEMENTS D'INVESTISSEMENT</t>
  </si>
  <si>
    <t xml:space="preserve">ENCG Settat — Université Hassan 1er  |  Étude sur 40 investisseurs</t>
  </si>
  <si>
    <t xml:space="preserve">TOTAL RÉPONDANTS</t>
  </si>
  <si>
    <t xml:space="preserve">AVENUE PRÉFÉRÉE</t>
  </si>
  <si>
    <t xml:space="preserve">RENDEMENT ATTENDU</t>
  </si>
  <si>
    <t xml:space="preserve">OBJECTIF PRINCIPAL</t>
  </si>
  <si>
    <t xml:space="preserve">40</t>
  </si>
  <si>
    <t xml:space="preserve">Mutual Fund</t>
  </si>
  <si>
    <t xml:space="preserve">20–30%</t>
  </si>
  <si>
    <t xml:space="preserve">Retraite</t>
  </si>
  <si>
    <t xml:space="preserve">37 actifs (92.5%)</t>
  </si>
  <si>
    <t xml:space="preserve">45% des choix</t>
  </si>
  <si>
    <t xml:space="preserve">80% des répondants</t>
  </si>
  <si>
    <t xml:space="preserve">60% Retirement Plan</t>
  </si>
  <si>
    <t xml:space="preserve">DURÉE PRÉFÉRÉE</t>
  </si>
  <si>
    <t xml:space="preserve">SUIVI PORTEFEUILLE</t>
  </si>
  <si>
    <t xml:space="preserve">FACTEUR DÉCISION</t>
  </si>
  <si>
    <t xml:space="preserve">SOURCE D'INFO</t>
  </si>
  <si>
    <t xml:space="preserve">3–5 ans</t>
  </si>
  <si>
    <t xml:space="preserve">Mensuel</t>
  </si>
  <si>
    <t xml:space="preserve">Returns</t>
  </si>
  <si>
    <t xml:space="preserve">Consultants</t>
  </si>
  <si>
    <t xml:space="preserve">47.5% choisissent</t>
  </si>
  <si>
    <t xml:space="preserve">72.5% mensuellement</t>
  </si>
  <si>
    <t xml:space="preserve">62.5% par rendement</t>
  </si>
  <si>
    <t xml:space="preserve">40% via consultants</t>
  </si>
  <si>
    <t xml:space="preserve">  RÉSUMÉ SYNTHÉTIQUE DES INDICATEURS CLÉS</t>
  </si>
  <si>
    <t xml:space="preserve">Indicateur</t>
  </si>
  <si>
    <t xml:space="preserve">Valeur</t>
  </si>
  <si>
    <t xml:space="preserve">Détail</t>
  </si>
  <si>
    <t xml:space="preserve">Total répondants</t>
  </si>
  <si>
    <t xml:space="preserve">100%</t>
  </si>
  <si>
    <t xml:space="preserve">Investisseurs actifs</t>
  </si>
  <si>
    <t xml:space="preserve">92.5%</t>
  </si>
  <si>
    <t xml:space="preserve">Hommes / Femmes</t>
  </si>
  <si>
    <t xml:space="preserve">25 / 15</t>
  </si>
  <si>
    <t xml:space="preserve">62.5% / 37.5%</t>
  </si>
  <si>
    <t xml:space="preserve">Avenue 1 — Mutual Fund</t>
  </si>
  <si>
    <t xml:space="preserve">45.0%</t>
  </si>
  <si>
    <t xml:space="preserve">Avenue 2 — Equity</t>
  </si>
  <si>
    <t xml:space="preserve">25.0%</t>
  </si>
  <si>
    <t xml:space="preserve">Avenue 3 — Fixed Deposits</t>
  </si>
  <si>
    <t xml:space="preserve">22.5%</t>
  </si>
  <si>
    <t xml:space="preserve">Objectif : Capital Appreciation</t>
  </si>
  <si>
    <t xml:space="preserve">65.0%</t>
  </si>
  <si>
    <t xml:space="preserve">Objectif : Retirement Plan</t>
  </si>
  <si>
    <t xml:space="preserve">60.0%</t>
  </si>
  <si>
    <t xml:space="preserve">Rendement attendu 20–30%</t>
  </si>
  <si>
    <t xml:space="preserve">80.0%</t>
  </si>
  <si>
    <t xml:space="preserve">Durée préférée 3–5 ans</t>
  </si>
  <si>
    <t xml:space="preserve">47.5%</t>
  </si>
  <si>
    <t xml:space="preserve">Suivi mensuel</t>
  </si>
  <si>
    <t xml:space="preserve">72.5%</t>
  </si>
  <si>
    <t xml:space="preserve">Facteur : Returns</t>
  </si>
  <si>
    <t xml:space="preserve">62.5%</t>
  </si>
  <si>
    <t xml:space="preserve">Source : Consultants Financiers</t>
  </si>
  <si>
    <t xml:space="preserve">40.0%</t>
  </si>
  <si>
    <t xml:space="preserve">gender</t>
  </si>
  <si>
    <t xml:space="preserve">age</t>
  </si>
  <si>
    <t xml:space="preserve">Investment_Avenues</t>
  </si>
  <si>
    <t xml:space="preserve">Mutual_Funds</t>
  </si>
  <si>
    <t xml:space="preserve">Equity_Market</t>
  </si>
  <si>
    <t xml:space="preserve">Debentures</t>
  </si>
  <si>
    <t xml:space="preserve">Government_Bonds</t>
  </si>
  <si>
    <t xml:space="preserve">Fixed_Deposits</t>
  </si>
  <si>
    <t xml:space="preserve">PPF</t>
  </si>
  <si>
    <t xml:space="preserve">Gold</t>
  </si>
  <si>
    <t xml:space="preserve">Stock_Marktet</t>
  </si>
  <si>
    <t xml:space="preserve">Factor</t>
  </si>
  <si>
    <t xml:space="preserve">Objective</t>
  </si>
  <si>
    <t xml:space="preserve">Purpose</t>
  </si>
  <si>
    <t xml:space="preserve">Duration</t>
  </si>
  <si>
    <t xml:space="preserve">Invest_Monitor</t>
  </si>
  <si>
    <t xml:space="preserve">Expect</t>
  </si>
  <si>
    <t xml:space="preserve">Avenue</t>
  </si>
  <si>
    <t xml:space="preserve">What are your savings objectives?</t>
  </si>
  <si>
    <t xml:space="preserve">Reason_Equity</t>
  </si>
  <si>
    <t xml:space="preserve">Reason_Mutual</t>
  </si>
  <si>
    <t xml:space="preserve">Reason_Bonds</t>
  </si>
  <si>
    <t xml:space="preserve">Reason_FD</t>
  </si>
  <si>
    <t xml:space="preserve">Source</t>
  </si>
  <si>
    <t xml:space="preserve">Female</t>
  </si>
  <si>
    <t xml:space="preserve">Yes</t>
  </si>
  <si>
    <t xml:space="preserve">Capital Appreciation</t>
  </si>
  <si>
    <t xml:space="preserve">Wealth Creation</t>
  </si>
  <si>
    <t xml:space="preserve">1-3 years</t>
  </si>
  <si>
    <t xml:space="preserve">Monthly</t>
  </si>
  <si>
    <t xml:space="preserve">20%-30%</t>
  </si>
  <si>
    <t xml:space="preserve">Retirement Plan</t>
  </si>
  <si>
    <t xml:space="preserve">Better Returns</t>
  </si>
  <si>
    <t xml:space="preserve">Safe Investment</t>
  </si>
  <si>
    <t xml:space="preserve">Fixed Returns</t>
  </si>
  <si>
    <t xml:space="preserve">Newspapers and Magazines</t>
  </si>
  <si>
    <t xml:space="preserve">No</t>
  </si>
  <si>
    <t xml:space="preserve">Locking Period</t>
  </si>
  <si>
    <t xml:space="preserve">More than 5 years</t>
  </si>
  <si>
    <t xml:space="preserve">Weekly</t>
  </si>
  <si>
    <t xml:space="preserve">Health Care</t>
  </si>
  <si>
    <t xml:space="preserve">Dividend</t>
  </si>
  <si>
    <t xml:space="preserve">High Interest Rates</t>
  </si>
  <si>
    <t xml:space="preserve">Financial Consultants</t>
  </si>
  <si>
    <t xml:space="preserve">Male</t>
  </si>
  <si>
    <t xml:space="preserve">3-5 years</t>
  </si>
  <si>
    <t xml:space="preserve">Daily</t>
  </si>
  <si>
    <t xml:space="preserve">Equity</t>
  </si>
  <si>
    <t xml:space="preserve">Tax Benefits</t>
  </si>
  <si>
    <t xml:space="preserve">Assured Returns</t>
  </si>
  <si>
    <t xml:space="preserve">Television</t>
  </si>
  <si>
    <t xml:space="preserve">Income</t>
  </si>
  <si>
    <t xml:space="preserve">Less than 1 year</t>
  </si>
  <si>
    <t xml:space="preserve">10%-20%</t>
  </si>
  <si>
    <t xml:space="preserve">Fund Diversification</t>
  </si>
  <si>
    <t xml:space="preserve">Tax Incentives</t>
  </si>
  <si>
    <t xml:space="preserve">Internet</t>
  </si>
  <si>
    <t xml:space="preserve">Risk Free</t>
  </si>
  <si>
    <t xml:space="preserve">Risk</t>
  </si>
  <si>
    <t xml:space="preserve">30%-40%</t>
  </si>
  <si>
    <t xml:space="preserve">Liquidity</t>
  </si>
  <si>
    <t xml:space="preserve">Growth</t>
  </si>
  <si>
    <t xml:space="preserve">Savings for Future</t>
  </si>
  <si>
    <t xml:space="preserve">Fixed Deposits</t>
  </si>
  <si>
    <t xml:space="preserve">Education</t>
  </si>
  <si>
    <t xml:space="preserve">Public Provident Fund</t>
  </si>
  <si>
    <t xml:space="preserve">  RÉPARTITION PAR GENRE</t>
  </si>
  <si>
    <t xml:space="preserve">Genre</t>
  </si>
  <si>
    <t xml:space="preserve">Effectif</t>
  </si>
  <si>
    <t xml:space="preserve">Pourcentage</t>
  </si>
  <si>
    <t xml:space="preserve">Hommes</t>
  </si>
  <si>
    <t xml:space="preserve">Femmes</t>
  </si>
  <si>
    <t xml:space="preserve">37.5%</t>
  </si>
  <si>
    <t xml:space="preserve">TOTAL</t>
  </si>
  <si>
    <t xml:space="preserve">  AVENUES D'INVESTISSEMENT</t>
  </si>
  <si>
    <t xml:space="preserve">7.5%</t>
  </si>
  <si>
    <t xml:space="preserve">  OBJECTIFS D'INVESTISSEMENT</t>
  </si>
  <si>
    <t xml:space="preserve">Objectif</t>
  </si>
  <si>
    <t xml:space="preserve">27.5%</t>
  </si>
  <si>
    <t xml:space="preserve">  OBJECTIFS D'ÉPARGNE</t>
  </si>
  <si>
    <t xml:space="preserve">Objectif Épargne</t>
  </si>
  <si>
    <t xml:space="preserve">32.5%</t>
  </si>
  <si>
    <t xml:space="preserve">  SCORES MOYENS PAR PRODUIT (1=Très Préféré, 7=Moins Préféré)</t>
  </si>
  <si>
    <t xml:space="preserve">Produit</t>
  </si>
  <si>
    <t xml:space="preserve">Score Global</t>
  </si>
  <si>
    <t xml:space="preserve">Score Femmes</t>
  </si>
  <si>
    <t xml:space="preserve">Score Hommes</t>
  </si>
  <si>
    <t xml:space="preserve">Classement</t>
  </si>
  <si>
    <t xml:space="preserve">PPF (Public Provident Fund)</t>
  </si>
  <si>
    <t xml:space="preserve">🥇 Favori Hommes</t>
  </si>
  <si>
    <t xml:space="preserve">Mutual Funds</t>
  </si>
  <si>
    <t xml:space="preserve">🥇 2e</t>
  </si>
  <si>
    <t xml:space="preserve">Equity Market</t>
  </si>
  <si>
    <t xml:space="preserve">🥈 3e</t>
  </si>
  <si>
    <t xml:space="preserve">🥈 4e</t>
  </si>
  <si>
    <t xml:space="preserve">Government Bonds</t>
  </si>
  <si>
    <t xml:space="preserve">🥉 5e</t>
  </si>
  <si>
    <t xml:space="preserve">6e</t>
  </si>
  <si>
    <t xml:space="preserve">7e — Moins Préféré</t>
  </si>
  <si>
    <t xml:space="preserve">  DURÉE D'INVESTISSEMENT</t>
  </si>
  <si>
    <t xml:space="preserve">Durée</t>
  </si>
  <si>
    <t xml:space="preserve">Moins d'1 an</t>
  </si>
  <si>
    <t xml:space="preserve">5.0%</t>
  </si>
  <si>
    <t xml:space="preserve">1–3 ans</t>
  </si>
  <si>
    <t xml:space="preserve">Plus de 5 ans</t>
  </si>
  <si>
    <t xml:space="preserve">2.5%</t>
  </si>
  <si>
    <t xml:space="preserve">  RENDEMENT ATTENDU</t>
  </si>
  <si>
    <t xml:space="preserve">Rendement</t>
  </si>
  <si>
    <t xml:space="preserve">10%–20%</t>
  </si>
  <si>
    <t xml:space="preserve">20%–30%</t>
  </si>
  <si>
    <t xml:space="preserve">30%–40%</t>
  </si>
  <si>
    <t xml:space="preserve">12.5%</t>
  </si>
  <si>
    <t xml:space="preserve">  SUIVI DU PORTEFEUILLE</t>
  </si>
  <si>
    <t xml:space="preserve">Fréquence</t>
  </si>
  <si>
    <t xml:space="preserve">Hebdomadaire</t>
  </si>
  <si>
    <t xml:space="preserve">17.5%</t>
  </si>
  <si>
    <t xml:space="preserve">Quotidien</t>
  </si>
  <si>
    <t xml:space="preserve">10.0%</t>
  </si>
  <si>
    <t xml:space="preserve">  RAISON — EQUITY MARKET</t>
  </si>
  <si>
    <t xml:space="preserve">Raison</t>
  </si>
  <si>
    <t xml:space="preserve">75.0%</t>
  </si>
  <si>
    <t xml:space="preserve">20.0%</t>
  </si>
  <si>
    <t xml:space="preserve">  RAISON — MUTUAL FUND</t>
  </si>
  <si>
    <t xml:space="preserve">  RAISON — BONDS</t>
  </si>
  <si>
    <t xml:space="preserve">  RAISON — FIXED DEPOSITS</t>
  </si>
  <si>
    <t xml:space="preserve">  SOURCE D'INFORMATION</t>
  </si>
  <si>
    <t xml:space="preserve">Consultants Financiers</t>
  </si>
  <si>
    <t xml:space="preserve">Journaux &amp; Magazines</t>
  </si>
  <si>
    <t xml:space="preserve">35.0%</t>
  </si>
  <si>
    <t xml:space="preserve">Télévision</t>
  </si>
  <si>
    <t xml:space="preserve">15.0%</t>
  </si>
  <si>
    <t xml:space="preserve">  AVENUES PAR GENRE</t>
  </si>
  <si>
    <t xml:space="preserve">Total</t>
  </si>
  <si>
    <t xml:space="preserve">  OBJECTIFS PAR GENRE</t>
  </si>
  <si>
    <t xml:space="preserve">  DISTRIBUTION PAR GROUPE D'ÂGE</t>
  </si>
  <si>
    <t xml:space="preserve">Groupe d'Âge</t>
  </si>
  <si>
    <t xml:space="preserve">Avenue Dominante</t>
  </si>
  <si>
    <t xml:space="preserve">21–24 ans</t>
  </si>
  <si>
    <t xml:space="preserve">Equity / Mutual Fund</t>
  </si>
  <si>
    <t xml:space="preserve">25–28 ans</t>
  </si>
  <si>
    <t xml:space="preserve">29–32 ans</t>
  </si>
  <si>
    <t xml:space="preserve">33–35 ans</t>
  </si>
  <si>
    <t xml:space="preserve">Fixed Deposits / PPF</t>
  </si>
  <si>
    <t xml:space="preserve">—</t>
  </si>
  <si>
    <t xml:space="preserve">  FACTEUR DE DÉCISION</t>
  </si>
  <si>
    <t xml:space="preserve">Facteur</t>
  </si>
  <si>
    <t xml:space="preserve">Returns (Rendements)</t>
  </si>
  <si>
    <t xml:space="preserve">Risk (Risque)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</si>
</sst>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D4A017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006633"/>
      <name val="Arial"/>
      <family val="0"/>
      <charset val="1"/>
    </font>
    <font>
      <b val="true"/>
      <sz val="18"/>
      <color rgb="FFD4A017"/>
      <name val="Arial"/>
      <family val="0"/>
      <charset val="1"/>
    </font>
    <font>
      <b val="true"/>
      <sz val="18"/>
      <color rgb="FF1E88E5"/>
      <name val="Arial"/>
      <family val="0"/>
      <charset val="1"/>
    </font>
    <font>
      <b val="true"/>
      <sz val="18"/>
      <color rgb="FF8E44AD"/>
      <name val="Arial"/>
      <family val="0"/>
      <charset val="1"/>
    </font>
    <font>
      <i val="true"/>
      <sz val="8"/>
      <color rgb="FF5A7A6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2E22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9"/>
      <color rgb="FF006633"/>
      <name val="Arial"/>
      <family val="0"/>
      <charset val="1"/>
    </font>
    <font>
      <b val="true"/>
      <sz val="9"/>
      <color rgb="FFD4A017"/>
      <name val="Arial"/>
      <family val="0"/>
      <charset val="1"/>
    </font>
    <font>
      <b val="true"/>
      <sz val="9"/>
      <color rgb="FFC0392B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006633"/>
        <bgColor rgb="FF004D26"/>
      </patternFill>
    </fill>
    <fill>
      <patternFill patternType="solid">
        <fgColor rgb="FF004D26"/>
        <bgColor rgb="FF006633"/>
      </patternFill>
    </fill>
    <fill>
      <patternFill patternType="solid">
        <fgColor rgb="FFD4A017"/>
        <bgColor rgb="FFE67E22"/>
      </patternFill>
    </fill>
    <fill>
      <patternFill patternType="solid">
        <fgColor rgb="FF1E88E5"/>
        <bgColor rgb="FF4F81BD"/>
      </patternFill>
    </fill>
    <fill>
      <patternFill patternType="solid">
        <fgColor rgb="FF8E44AD"/>
        <bgColor rgb="FF8064A2"/>
      </patternFill>
    </fill>
    <fill>
      <patternFill patternType="solid">
        <fgColor rgb="FFFFFFFF"/>
        <bgColor rgb="FFF9F9F9"/>
      </patternFill>
    </fill>
    <fill>
      <patternFill patternType="solid">
        <fgColor rgb="FFF5FAF7"/>
        <bgColor rgb="FFF9F9F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E4D8"/>
      </left>
      <right style="thin">
        <color rgb="FFD0E4D8"/>
      </right>
      <top style="thin">
        <color rgb="FFD0E4D8"/>
      </top>
      <bottom style="thin">
        <color rgb="FFD0E4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5A7A65"/>
      <rgbColor rgb="FF800080"/>
      <rgbColor rgb="FF008080"/>
      <rgbColor rgb="FFC0C0C0"/>
      <rgbColor rgb="FF878787"/>
      <rgbColor rgb="FF9999FF"/>
      <rgbColor rgb="FF8E44AD"/>
      <rgbColor rgb="FFF5FAF7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0E4D8"/>
      <rgbColor rgb="FFFFFF99"/>
      <rgbColor rgb="FF99CCFF"/>
      <rgbColor rgb="FFFF99CC"/>
      <rgbColor rgb="FFCC99FF"/>
      <rgbColor rgb="FFFFCC99"/>
      <rgbColor rgb="FF1E88E5"/>
      <rgbColor rgb="FF33CCCC"/>
      <rgbColor rgb="FF9BBB59"/>
      <rgbColor rgb="FFFFCC00"/>
      <rgbColor rgb="FFD4A017"/>
      <rgbColor rgb="FFE67E22"/>
      <rgbColor rgb="FF8064A2"/>
      <rgbColor rgb="FF4F81BD"/>
      <rgbColor rgb="FF003366"/>
      <rgbColor rgb="FF16A085"/>
      <rgbColor rgb="FF004D26"/>
      <rgbColor rgb="FF333300"/>
      <rgbColor rgb="FFC0392B"/>
      <rgbColor rgb="FFC0504D"/>
      <rgbColor rgb="FF333399"/>
      <rgbColor rgb="FF1A2E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REPARTITIONS!B2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REPARTITIONS!$A$3:$A$4</c:f>
              <c:strCache>
                <c:ptCount val="2"/>
                <c:pt idx="0">
                  <c:v>Hommes</c:v>
                </c:pt>
                <c:pt idx="1">
                  <c:v>Femmes</c:v>
                </c:pt>
              </c:strCache>
            </c:strRef>
          </c:cat>
          <c:val>
            <c:numRef>
              <c:f>REPARTITIONS!$B$3:$B$4</c:f>
              <c:numCache>
                <c:formatCode>General</c:formatCode>
                <c:ptCount val="2"/>
                <c:pt idx="0">
                  <c:v>25</c:v>
                </c:pt>
                <c:pt idx="1">
                  <c:v>15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Avenues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REPARTITIONS!B10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REPARTITIONS!$A$11:$A$14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PPF</c:v>
                </c:pt>
              </c:strCache>
            </c:strRef>
          </c:cat>
          <c:val>
            <c:numRef>
              <c:f>REPARTITIONS!$B$11:$B$14</c:f>
              <c:numCache>
                <c:formatCode>General</c:formatCode>
                <c:ptCount val="4"/>
                <c:pt idx="0">
                  <c:v>18</c:v>
                </c:pt>
                <c:pt idx="1">
                  <c:v>10</c:v>
                </c:pt>
                <c:pt idx="2">
                  <c:v>9</c:v>
                </c:pt>
                <c:pt idx="3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Objectifs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REPARTITIONS!B19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REPARTITIONS!$A$20:$A$22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REPARTITIONS!$B$20:$B$22</c:f>
              <c:numCache>
                <c:formatCode>General</c:formatCode>
                <c:ptCount val="3"/>
                <c:pt idx="0">
                  <c:v>26</c:v>
                </c:pt>
                <c:pt idx="1">
                  <c:v>11</c:v>
                </c:pt>
                <c:pt idx="2">
                  <c:v>3</c:v>
                </c:pt>
              </c:numCache>
            </c:numRef>
          </c:val>
        </c:ser>
        <c:gapWidth val="150"/>
        <c:overlap val="0"/>
        <c:axId val="81910955"/>
        <c:axId val="52730613"/>
      </c:barChart>
      <c:catAx>
        <c:axId val="819109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730613"/>
        <c:crosses val="autoZero"/>
        <c:auto val="1"/>
        <c:lblAlgn val="ctr"/>
        <c:lblOffset val="100"/>
        <c:noMultiLvlLbl val="0"/>
      </c:catAx>
      <c:valAx>
        <c:axId val="527306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91095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Objectifs Épargne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REPARTITIONS!B28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REPARTITIONS!$A$29:$A$31</c:f>
              <c:strCache>
                <c:ptCount val="3"/>
                <c:pt idx="0">
                  <c:v>Retirement Plan</c:v>
                </c:pt>
                <c:pt idx="1">
                  <c:v>Health Care</c:v>
                </c:pt>
                <c:pt idx="2">
                  <c:v>Education</c:v>
                </c:pt>
              </c:strCache>
            </c:strRef>
          </c:cat>
          <c:val>
            <c:numRef>
              <c:f>REPARTITIONS!$B$29:$B$31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Scores par Genre (1=préféré)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'SCORES ET PREFERENCES'!C2</c:f>
              <c:strCache>
                <c:ptCount val="1"/>
                <c:pt idx="0">
                  <c:v>Score Femmes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'SCORES ET PREFERENCES'!$A$3:$A$9</c:f>
              <c:strCache>
                <c:ptCount val="7"/>
                <c:pt idx="0">
                  <c:v>PPF (Public Provident Fund)</c:v>
                </c:pt>
                <c:pt idx="1">
                  <c:v>Mutual Funds</c:v>
                </c:pt>
                <c:pt idx="2">
                  <c:v>Equity Market</c:v>
                </c:pt>
                <c:pt idx="3">
                  <c:v>Fixed Deposits</c:v>
                </c:pt>
                <c:pt idx="4">
                  <c:v>Government Bonds</c:v>
                </c:pt>
                <c:pt idx="5">
                  <c:v>Debentures</c:v>
                </c:pt>
                <c:pt idx="6">
                  <c:v>Gold</c:v>
                </c:pt>
              </c:strCache>
            </c:strRef>
          </c:cat>
          <c:val>
            <c:numRef>
              <c:f>'SCORES ET PREFERENCES'!$C$3:$C$9</c:f>
              <c:numCache>
                <c:formatCode>General</c:formatCode>
                <c:ptCount val="7"/>
                <c:pt idx="0">
                  <c:v>2.33</c:v>
                </c:pt>
                <c:pt idx="1">
                  <c:v>2.73</c:v>
                </c:pt>
                <c:pt idx="2">
                  <c:v>3.33</c:v>
                </c:pt>
                <c:pt idx="3">
                  <c:v>4.2</c:v>
                </c:pt>
                <c:pt idx="4">
                  <c:v>4.33</c:v>
                </c:pt>
                <c:pt idx="5">
                  <c:v>5.2</c:v>
                </c:pt>
                <c:pt idx="6">
                  <c:v>5.87</c:v>
                </c:pt>
              </c:numCache>
            </c:numRef>
          </c:val>
        </c:ser>
        <c:ser>
          <c:idx val="1"/>
          <c:order val="1"/>
          <c:tx>
            <c:strRef>
              <c:f>'SCORES ET PREFERENCES'!D2</c:f>
              <c:strCache>
                <c:ptCount val="1"/>
                <c:pt idx="0">
                  <c:v>Score Hommes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'SCORES ET PREFERENCES'!$A$3:$A$9</c:f>
              <c:strCache>
                <c:ptCount val="7"/>
                <c:pt idx="0">
                  <c:v>PPF (Public Provident Fund)</c:v>
                </c:pt>
                <c:pt idx="1">
                  <c:v>Mutual Funds</c:v>
                </c:pt>
                <c:pt idx="2">
                  <c:v>Equity Market</c:v>
                </c:pt>
                <c:pt idx="3">
                  <c:v>Fixed Deposits</c:v>
                </c:pt>
                <c:pt idx="4">
                  <c:v>Government Bonds</c:v>
                </c:pt>
                <c:pt idx="5">
                  <c:v>Debentures</c:v>
                </c:pt>
                <c:pt idx="6">
                  <c:v>Gold</c:v>
                </c:pt>
              </c:strCache>
            </c:strRef>
          </c:cat>
          <c:val>
            <c:numRef>
              <c:f>'SCORES ET PREFERENCES'!$D$3:$D$9</c:f>
              <c:numCache>
                <c:formatCode>General</c:formatCode>
                <c:ptCount val="7"/>
                <c:pt idx="0">
                  <c:v>1.84</c:v>
                </c:pt>
                <c:pt idx="1">
                  <c:v>2.44</c:v>
                </c:pt>
                <c:pt idx="2">
                  <c:v>3.56</c:v>
                </c:pt>
                <c:pt idx="3">
                  <c:v>3.2</c:v>
                </c:pt>
                <c:pt idx="4">
                  <c:v>4.84</c:v>
                </c:pt>
                <c:pt idx="5">
                  <c:v>6.08</c:v>
                </c:pt>
                <c:pt idx="6">
                  <c:v>6.04</c:v>
                </c:pt>
              </c:numCache>
            </c:numRef>
          </c:val>
        </c:ser>
        <c:gapWidth val="150"/>
        <c:overlap val="0"/>
        <c:axId val="74514571"/>
        <c:axId val="62659281"/>
      </c:barChart>
      <c:catAx>
        <c:axId val="745145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59281"/>
        <c:crosses val="autoZero"/>
        <c:auto val="1"/>
        <c:lblAlgn val="ctr"/>
        <c:lblOffset val="100"/>
        <c:noMultiLvlLbl val="0"/>
      </c:catAx>
      <c:valAx>
        <c:axId val="626592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514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Durée d'Investissement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'SCORES ET PREFERENCES'!B13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'SCORES ET PREFERENCES'!$A$14:$A$17</c:f>
              <c:strCache>
                <c:ptCount val="4"/>
                <c:pt idx="0">
                  <c:v>Moins d'1 an</c:v>
                </c:pt>
                <c:pt idx="1">
                  <c:v>1–3 ans</c:v>
                </c:pt>
                <c:pt idx="2">
                  <c:v>3–5 ans</c:v>
                </c:pt>
                <c:pt idx="3">
                  <c:v>Plus de 5 ans</c:v>
                </c:pt>
              </c:strCache>
            </c:strRef>
          </c:cat>
          <c:val>
            <c:numRef>
              <c:f>'SCORES ET PREFERENCES'!$B$14:$B$17</c:f>
              <c:numCache>
                <c:formatCode>General</c:formatCode>
                <c:ptCount val="4"/>
                <c:pt idx="0">
                  <c:v>2</c:v>
                </c:pt>
                <c:pt idx="1">
                  <c:v>18</c:v>
                </c:pt>
                <c:pt idx="2">
                  <c:v>19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78634597"/>
        <c:axId val="89199537"/>
      </c:barChart>
      <c:catAx>
        <c:axId val="786345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199537"/>
        <c:crosses val="autoZero"/>
        <c:auto val="1"/>
        <c:lblAlgn val="ctr"/>
        <c:lblOffset val="100"/>
        <c:noMultiLvlLbl val="0"/>
      </c:catAx>
      <c:valAx>
        <c:axId val="891995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86345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Rendement Attendu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'SCORES ET PREFERENCES'!B23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'SCORES ET PREFERENCES'!$A$24:$A$26</c:f>
              <c:strCache>
                <c:ptCount val="3"/>
                <c:pt idx="0">
                  <c:v>10%–20%</c:v>
                </c:pt>
                <c:pt idx="1">
                  <c:v>20%–30%</c:v>
                </c:pt>
                <c:pt idx="2">
                  <c:v>30%–40%</c:v>
                </c:pt>
              </c:strCache>
            </c:strRef>
          </c:cat>
          <c:val>
            <c:numRef>
              <c:f>'SCORES ET PREFERENCES'!$B$24:$B$26</c:f>
              <c:numCache>
                <c:formatCode>General</c:formatCode>
                <c:ptCount val="3"/>
                <c:pt idx="0">
                  <c:v>3</c:v>
                </c:pt>
                <c:pt idx="1">
                  <c:v>32</c:v>
                </c:pt>
                <c:pt idx="2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Suivi Portefeuille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'SCORES ET PREFERENCES'!B31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'SCORES ET PREFERENCES'!$A$32:$A$34</c:f>
              <c:strCache>
                <c:ptCount val="3"/>
                <c:pt idx="0">
                  <c:v>Mensuel</c:v>
                </c:pt>
                <c:pt idx="1">
                  <c:v>Hebdomadaire</c:v>
                </c:pt>
                <c:pt idx="2">
                  <c:v>Quotidien</c:v>
                </c:pt>
              </c:strCache>
            </c:strRef>
          </c:cat>
          <c:val>
            <c:numRef>
              <c:f>'SCORES ET PREFERENCES'!$B$32:$B$34</c:f>
              <c:numCache>
                <c:formatCode>General</c:formatCode>
                <c:ptCount val="3"/>
                <c:pt idx="0">
                  <c:v>29</c:v>
                </c:pt>
                <c:pt idx="1">
                  <c:v>7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RAISON — EQUITY MARKET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'RAISONS ET SOURCES'!B2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'RAISONS ET SOURCES'!$A$3:$A$5</c:f>
              <c:strCache>
                <c:ptCount val="3"/>
                <c:pt idx="0">
                  <c:v>Capital Appreciation</c:v>
                </c:pt>
                <c:pt idx="1">
                  <c:v>Dividend</c:v>
                </c:pt>
                <c:pt idx="2">
                  <c:v>Liquidity</c:v>
                </c:pt>
              </c:strCache>
            </c:strRef>
          </c:cat>
          <c:val>
            <c:numRef>
              <c:f>'RAISONS ET SOURCES'!$B$3:$B$5</c:f>
              <c:numCache>
                <c:formatCode>General</c:formatCode>
                <c:ptCount val="3"/>
                <c:pt idx="0">
                  <c:v>30</c:v>
                </c:pt>
                <c:pt idx="1">
                  <c:v>8</c:v>
                </c:pt>
                <c:pt idx="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RAISON — MUTUAL FUND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'RAISONS ET SOURCES'!B10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'RAISONS ET SOURCES'!$A$11:$A$13</c:f>
              <c:strCache>
                <c:ptCount val="3"/>
                <c:pt idx="0">
                  <c:v>Better Returns</c:v>
                </c:pt>
                <c:pt idx="1">
                  <c:v>Fund Diversification</c:v>
                </c:pt>
                <c:pt idx="2">
                  <c:v>Tax Benefits</c:v>
                </c:pt>
              </c:strCache>
            </c:strRef>
          </c:cat>
          <c:val>
            <c:numRef>
              <c:f>'RAISONS ET SOURCES'!$B$11:$B$13</c:f>
              <c:numCache>
                <c:formatCode>General</c:formatCode>
                <c:ptCount val="3"/>
                <c:pt idx="0">
                  <c:v>24</c:v>
                </c:pt>
                <c:pt idx="1">
                  <c:v>13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RAISON — BONDS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'RAISONS ET SOURCES'!B18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'RAISONS ET SOURCES'!$A$19:$A$21</c:f>
              <c:strCache>
                <c:ptCount val="3"/>
                <c:pt idx="0">
                  <c:v>Assured Returns</c:v>
                </c:pt>
                <c:pt idx="1">
                  <c:v>Safe Investment</c:v>
                </c:pt>
                <c:pt idx="2">
                  <c:v>Tax Incentives</c:v>
                </c:pt>
              </c:strCache>
            </c:strRef>
          </c:cat>
          <c:val>
            <c:numRef>
              <c:f>'RAISONS ET SOURCES'!$B$19:$B$21</c:f>
              <c:numCache>
                <c:formatCode>General</c:formatCode>
                <c:ptCount val="3"/>
                <c:pt idx="0">
                  <c:v>26</c:v>
                </c:pt>
                <c:pt idx="1">
                  <c:v>13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RAISON — FIXED DEPOSITS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'RAISONS ET SOURCES'!B26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'RAISONS ET SOURCES'!$A$27:$A$29</c:f>
              <c:strCache>
                <c:ptCount val="3"/>
                <c:pt idx="0">
                  <c:v>Risk Free</c:v>
                </c:pt>
                <c:pt idx="1">
                  <c:v>Fixed Returns</c:v>
                </c:pt>
                <c:pt idx="2">
                  <c:v>High Interest Rates</c:v>
                </c:pt>
              </c:strCache>
            </c:strRef>
          </c:cat>
          <c:val>
            <c:numRef>
              <c:f>'RAISONS ET SOURCES'!$B$27:$B$29</c:f>
              <c:numCache>
                <c:formatCode>General</c:formatCode>
                <c:ptCount val="3"/>
                <c:pt idx="0">
                  <c:v>19</c:v>
                </c:pt>
                <c:pt idx="1">
                  <c:v>18</c:v>
                </c:pt>
                <c:pt idx="2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Source d'Information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'RAISONS ET SOURCES'!B34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'RAISONS ET SOURCES'!$A$35:$A$38</c:f>
              <c:strCache>
                <c:ptCount val="4"/>
                <c:pt idx="0">
                  <c:v>Consultants Financiers</c:v>
                </c:pt>
                <c:pt idx="1">
                  <c:v>Journaux &amp; Magazines</c:v>
                </c:pt>
                <c:pt idx="2">
                  <c:v>Télévision</c:v>
                </c:pt>
                <c:pt idx="3">
                  <c:v>Internet</c:v>
                </c:pt>
              </c:strCache>
            </c:strRef>
          </c:cat>
          <c:val>
            <c:numRef>
              <c:f>'RAISONS ET SOURCES'!$B$35:$B$38</c:f>
              <c:numCache>
                <c:formatCode>General</c:formatCode>
                <c:ptCount val="4"/>
                <c:pt idx="0">
                  <c:v>16</c:v>
                </c:pt>
                <c:pt idx="1">
                  <c:v>14</c:v>
                </c:pt>
                <c:pt idx="2">
                  <c:v>6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75902346"/>
        <c:axId val="5288252"/>
      </c:barChart>
      <c:catAx>
        <c:axId val="759023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88252"/>
        <c:crosses val="autoZero"/>
        <c:auto val="1"/>
        <c:lblAlgn val="ctr"/>
        <c:lblOffset val="100"/>
        <c:noMultiLvlLbl val="0"/>
      </c:catAx>
      <c:valAx>
        <c:axId val="52882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902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Avenues par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'ANALYSE PAR GENRE'!B2</c:f>
              <c:strCache>
                <c:ptCount val="1"/>
                <c:pt idx="0">
                  <c:v>Hommes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PAR GENRE'!$A$3:$A$6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PPF</c:v>
                </c:pt>
              </c:strCache>
            </c:strRef>
          </c:cat>
          <c:val>
            <c:numRef>
              <c:f>'ANALYSE PAR GENRE'!$B$3:$B$6</c:f>
              <c:numCache>
                <c:formatCode>General</c:formatCode>
                <c:ptCount val="4"/>
                <c:pt idx="0">
                  <c:v>10</c:v>
                </c:pt>
                <c:pt idx="1">
                  <c:v>7</c:v>
                </c:pt>
                <c:pt idx="2">
                  <c:v>6</c:v>
                </c:pt>
                <c:pt idx="3">
                  <c:v>2</c:v>
                </c:pt>
              </c:numCache>
            </c:numRef>
          </c:val>
        </c:ser>
        <c:ser>
          <c:idx val="1"/>
          <c:order val="1"/>
          <c:tx>
            <c:strRef>
              <c:f>'ANALYSE PAR GENRE'!C2</c:f>
              <c:strCache>
                <c:ptCount val="1"/>
                <c:pt idx="0">
                  <c:v>Femmes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PAR GENRE'!$A$3:$A$6</c:f>
              <c:strCache>
                <c:ptCount val="4"/>
                <c:pt idx="0">
                  <c:v>Mutual Fund</c:v>
                </c:pt>
                <c:pt idx="1">
                  <c:v>Equity</c:v>
                </c:pt>
                <c:pt idx="2">
                  <c:v>Fixed Deposits</c:v>
                </c:pt>
                <c:pt idx="3">
                  <c:v>PPF</c:v>
                </c:pt>
              </c:strCache>
            </c:strRef>
          </c:cat>
          <c:val>
            <c:numRef>
              <c:f>'ANALYSE PAR GENRE'!$C$3:$C$6</c:f>
              <c:numCache>
                <c:formatCode>General</c:formatCode>
                <c:ptCount val="4"/>
                <c:pt idx="0">
                  <c:v>8</c:v>
                </c:pt>
                <c:pt idx="1">
                  <c:v>3</c:v>
                </c:pt>
                <c:pt idx="2">
                  <c:v>3</c:v>
                </c:pt>
                <c:pt idx="3">
                  <c:v>1</c:v>
                </c:pt>
              </c:numCache>
            </c:numRef>
          </c:val>
        </c:ser>
        <c:gapWidth val="150"/>
        <c:overlap val="0"/>
        <c:axId val="79684465"/>
        <c:axId val="10812015"/>
      </c:barChart>
      <c:catAx>
        <c:axId val="796844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812015"/>
        <c:crosses val="autoZero"/>
        <c:auto val="1"/>
        <c:lblAlgn val="ctr"/>
        <c:lblOffset val="100"/>
        <c:noMultiLvlLbl val="0"/>
      </c:catAx>
      <c:valAx>
        <c:axId val="108120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6844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Objectifs par Genre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'ANALYSE PAR GENRE'!B12</c:f>
              <c:strCache>
                <c:ptCount val="1"/>
                <c:pt idx="0">
                  <c:v>Hommes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PAR GENRE'!$A$13:$A$15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'ANALYSE PAR GENRE'!$B$13:$B$15</c:f>
              <c:numCache>
                <c:formatCode>General</c:formatCode>
                <c:ptCount val="3"/>
                <c:pt idx="0">
                  <c:v>16</c:v>
                </c:pt>
                <c:pt idx="1">
                  <c:v>8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'ANALYSE PAR GENRE'!C12</c:f>
              <c:strCache>
                <c:ptCount val="1"/>
                <c:pt idx="0">
                  <c:v>Femmes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PAR GENRE'!$A$13:$A$15</c:f>
              <c:strCache>
                <c:ptCount val="3"/>
                <c:pt idx="0">
                  <c:v>Capital Appreciation</c:v>
                </c:pt>
                <c:pt idx="1">
                  <c:v>Growth</c:v>
                </c:pt>
                <c:pt idx="2">
                  <c:v>Income</c:v>
                </c:pt>
              </c:strCache>
            </c:strRef>
          </c:cat>
          <c:val>
            <c:numRef>
              <c:f>'ANALYSE PAR GENRE'!$C$13:$C$15</c:f>
              <c:numCache>
                <c:formatCode>General</c:formatCode>
                <c:ptCount val="3"/>
                <c:pt idx="0">
                  <c:v>10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</c:ser>
        <c:gapWidth val="150"/>
        <c:overlap val="0"/>
        <c:axId val="47697487"/>
        <c:axId val="5936243"/>
      </c:barChart>
      <c:catAx>
        <c:axId val="4769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6243"/>
        <c:crosses val="autoZero"/>
        <c:auto val="1"/>
        <c:lblAlgn val="ctr"/>
        <c:lblOffset val="100"/>
        <c:noMultiLvlLbl val="0"/>
      </c:catAx>
      <c:valAx>
        <c:axId val="593624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974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Distribution par Âge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'AGE ET FACTEURS'!B2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'AGE ET FACTEURS'!$A$3:$A$6</c:f>
              <c:strCache>
                <c:ptCount val="4"/>
                <c:pt idx="0">
                  <c:v>21–24 ans</c:v>
                </c:pt>
                <c:pt idx="1">
                  <c:v>25–28 ans</c:v>
                </c:pt>
                <c:pt idx="2">
                  <c:v>29–32 ans</c:v>
                </c:pt>
                <c:pt idx="3">
                  <c:v>33–35 ans</c:v>
                </c:pt>
              </c:strCache>
            </c:strRef>
          </c:cat>
          <c:val>
            <c:numRef>
              <c:f>'AGE ET FACTEURS'!$B$3:$B$6</c:f>
              <c:numCache>
                <c:formatCode>General</c:formatCode>
                <c:ptCount val="4"/>
                <c:pt idx="0">
                  <c:v>7</c:v>
                </c:pt>
                <c:pt idx="1">
                  <c:v>16</c:v>
                </c:pt>
                <c:pt idx="2">
                  <c:v>13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84507232"/>
        <c:axId val="57038899"/>
      </c:barChart>
      <c:catAx>
        <c:axId val="84507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38899"/>
        <c:crosses val="autoZero"/>
        <c:auto val="1"/>
        <c:lblAlgn val="ctr"/>
        <c:lblOffset val="100"/>
        <c:noMultiLvlLbl val="0"/>
      </c:catAx>
      <c:valAx>
        <c:axId val="5703889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50723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Facteur de Décision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'AGE ET FACTEURS'!B12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'AGE ET FACTEURS'!$A$13:$A$15</c:f>
              <c:strCache>
                <c:ptCount val="3"/>
                <c:pt idx="0">
                  <c:v>Returns (Rendements)</c:v>
                </c:pt>
                <c:pt idx="1">
                  <c:v>Risk (Risque)</c:v>
                </c:pt>
                <c:pt idx="2">
                  <c:v>Locking Period</c:v>
                </c:pt>
              </c:strCache>
            </c:strRef>
          </c:cat>
          <c:val>
            <c:numRef>
              <c:f>'AGE ET FACTEURS'!$B$13:$B$15</c:f>
              <c:numCache>
                <c:formatCode>General</c:formatCode>
                <c:ptCount val="3"/>
                <c:pt idx="0">
                  <c:v>25</c:v>
                </c:pt>
                <c:pt idx="1">
                  <c:v>14</c:v>
                </c:pt>
                <c:pt idx="2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16.xml"/><Relationship Id="rId2" Type="http://schemas.openxmlformats.org/officeDocument/2006/relationships/chart" Target="../charts/chart1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12</xdr:col>
      <xdr:colOff>147600</xdr:colOff>
      <xdr:row>17</xdr:row>
      <xdr:rowOff>225720</xdr:rowOff>
    </xdr:to>
    <xdr:graphicFrame>
      <xdr:nvGraphicFramePr>
        <xdr:cNvPr id="0" name="Chart 1"/>
        <xdr:cNvGraphicFramePr/>
      </xdr:nvGraphicFramePr>
      <xdr:xfrm>
        <a:off x="3994920" y="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12</xdr:col>
      <xdr:colOff>147600</xdr:colOff>
      <xdr:row>26</xdr:row>
      <xdr:rowOff>16200</xdr:rowOff>
    </xdr:to>
    <xdr:graphicFrame>
      <xdr:nvGraphicFramePr>
        <xdr:cNvPr id="1" name="Chart 2"/>
        <xdr:cNvGraphicFramePr/>
      </xdr:nvGraphicFramePr>
      <xdr:xfrm>
        <a:off x="3994920" y="17524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17</xdr:row>
      <xdr:rowOff>0</xdr:rowOff>
    </xdr:from>
    <xdr:to>
      <xdr:col>12</xdr:col>
      <xdr:colOff>147600</xdr:colOff>
      <xdr:row>35</xdr:row>
      <xdr:rowOff>35280</xdr:rowOff>
    </xdr:to>
    <xdr:graphicFrame>
      <xdr:nvGraphicFramePr>
        <xdr:cNvPr id="2" name="Chart 3"/>
        <xdr:cNvGraphicFramePr/>
      </xdr:nvGraphicFramePr>
      <xdr:xfrm>
        <a:off x="3994920" y="373392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26</xdr:row>
      <xdr:rowOff>0</xdr:rowOff>
    </xdr:from>
    <xdr:to>
      <xdr:col>12</xdr:col>
      <xdr:colOff>147600</xdr:colOff>
      <xdr:row>45</xdr:row>
      <xdr:rowOff>92520</xdr:rowOff>
    </xdr:to>
    <xdr:graphicFrame>
      <xdr:nvGraphicFramePr>
        <xdr:cNvPr id="3" name="Chart 4"/>
        <xdr:cNvGraphicFramePr/>
      </xdr:nvGraphicFramePr>
      <xdr:xfrm>
        <a:off x="3994920" y="569592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0</xdr:row>
      <xdr:rowOff>0</xdr:rowOff>
    </xdr:from>
    <xdr:to>
      <xdr:col>16</xdr:col>
      <xdr:colOff>364680</xdr:colOff>
      <xdr:row>22</xdr:row>
      <xdr:rowOff>191520</xdr:rowOff>
    </xdr:to>
    <xdr:graphicFrame>
      <xdr:nvGraphicFramePr>
        <xdr:cNvPr id="4" name="Chart 1"/>
        <xdr:cNvGraphicFramePr/>
      </xdr:nvGraphicFramePr>
      <xdr:xfrm>
        <a:off x="6391440" y="0"/>
        <a:ext cx="647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14</xdr:row>
      <xdr:rowOff>0</xdr:rowOff>
    </xdr:from>
    <xdr:to>
      <xdr:col>14</xdr:col>
      <xdr:colOff>147600</xdr:colOff>
      <xdr:row>32</xdr:row>
      <xdr:rowOff>16200</xdr:rowOff>
    </xdr:to>
    <xdr:graphicFrame>
      <xdr:nvGraphicFramePr>
        <xdr:cNvPr id="5" name="Chart 2"/>
        <xdr:cNvGraphicFramePr/>
      </xdr:nvGraphicFramePr>
      <xdr:xfrm>
        <a:off x="6391440" y="31622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25</xdr:row>
      <xdr:rowOff>0</xdr:rowOff>
    </xdr:from>
    <xdr:to>
      <xdr:col>14</xdr:col>
      <xdr:colOff>147600</xdr:colOff>
      <xdr:row>44</xdr:row>
      <xdr:rowOff>54360</xdr:rowOff>
    </xdr:to>
    <xdr:graphicFrame>
      <xdr:nvGraphicFramePr>
        <xdr:cNvPr id="6" name="Chart 3"/>
        <xdr:cNvGraphicFramePr/>
      </xdr:nvGraphicFramePr>
      <xdr:xfrm>
        <a:off x="6391440" y="554364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32</xdr:row>
      <xdr:rowOff>0</xdr:rowOff>
    </xdr:from>
    <xdr:to>
      <xdr:col>14</xdr:col>
      <xdr:colOff>147600</xdr:colOff>
      <xdr:row>52</xdr:row>
      <xdr:rowOff>92520</xdr:rowOff>
    </xdr:to>
    <xdr:graphicFrame>
      <xdr:nvGraphicFramePr>
        <xdr:cNvPr id="7" name="Chart 4"/>
        <xdr:cNvGraphicFramePr/>
      </xdr:nvGraphicFramePr>
      <xdr:xfrm>
        <a:off x="6391440" y="71056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0</xdr:row>
      <xdr:rowOff>0</xdr:rowOff>
    </xdr:from>
    <xdr:to>
      <xdr:col>11</xdr:col>
      <xdr:colOff>399240</xdr:colOff>
      <xdr:row>14</xdr:row>
      <xdr:rowOff>115560</xdr:rowOff>
    </xdr:to>
    <xdr:graphicFrame>
      <xdr:nvGraphicFramePr>
        <xdr:cNvPr id="8" name="Chart 1"/>
        <xdr:cNvGraphicFramePr/>
      </xdr:nvGraphicFramePr>
      <xdr:xfrm>
        <a:off x="3994920" y="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11</xdr:col>
      <xdr:colOff>399240</xdr:colOff>
      <xdr:row>22</xdr:row>
      <xdr:rowOff>115200</xdr:rowOff>
    </xdr:to>
    <xdr:graphicFrame>
      <xdr:nvGraphicFramePr>
        <xdr:cNvPr id="9" name="Chart 2"/>
        <xdr:cNvGraphicFramePr/>
      </xdr:nvGraphicFramePr>
      <xdr:xfrm>
        <a:off x="3994920" y="175248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16</xdr:row>
      <xdr:rowOff>0</xdr:rowOff>
    </xdr:from>
    <xdr:to>
      <xdr:col>11</xdr:col>
      <xdr:colOff>399240</xdr:colOff>
      <xdr:row>30</xdr:row>
      <xdr:rowOff>115560</xdr:rowOff>
    </xdr:to>
    <xdr:graphicFrame>
      <xdr:nvGraphicFramePr>
        <xdr:cNvPr id="10" name="Chart 3"/>
        <xdr:cNvGraphicFramePr/>
      </xdr:nvGraphicFramePr>
      <xdr:xfrm>
        <a:off x="3994920" y="350532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4</xdr:col>
      <xdr:colOff>0</xdr:colOff>
      <xdr:row>24</xdr:row>
      <xdr:rowOff>0</xdr:rowOff>
    </xdr:from>
    <xdr:to>
      <xdr:col>11</xdr:col>
      <xdr:colOff>399240</xdr:colOff>
      <xdr:row>38</xdr:row>
      <xdr:rowOff>96480</xdr:rowOff>
    </xdr:to>
    <xdr:graphicFrame>
      <xdr:nvGraphicFramePr>
        <xdr:cNvPr id="11" name="Chart 4"/>
        <xdr:cNvGraphicFramePr/>
      </xdr:nvGraphicFramePr>
      <xdr:xfrm>
        <a:off x="3994920" y="5257800"/>
        <a:ext cx="46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0</xdr:colOff>
      <xdr:row>32</xdr:row>
      <xdr:rowOff>0</xdr:rowOff>
    </xdr:from>
    <xdr:to>
      <xdr:col>12</xdr:col>
      <xdr:colOff>147600</xdr:colOff>
      <xdr:row>51</xdr:row>
      <xdr:rowOff>73440</xdr:rowOff>
    </xdr:to>
    <xdr:graphicFrame>
      <xdr:nvGraphicFramePr>
        <xdr:cNvPr id="12" name="Chart 5"/>
        <xdr:cNvGraphicFramePr/>
      </xdr:nvGraphicFramePr>
      <xdr:xfrm>
        <a:off x="3994920" y="70102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19</xdr:row>
      <xdr:rowOff>185760</xdr:rowOff>
    </xdr:to>
    <xdr:graphicFrame>
      <xdr:nvGraphicFramePr>
        <xdr:cNvPr id="13" name="Chart 1"/>
        <xdr:cNvGraphicFramePr/>
      </xdr:nvGraphicFramePr>
      <xdr:xfrm>
        <a:off x="5122440" y="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14</xdr:col>
      <xdr:colOff>255960</xdr:colOff>
      <xdr:row>29</xdr:row>
      <xdr:rowOff>92520</xdr:rowOff>
    </xdr:to>
    <xdr:graphicFrame>
      <xdr:nvGraphicFramePr>
        <xdr:cNvPr id="14" name="Chart 2"/>
        <xdr:cNvGraphicFramePr/>
      </xdr:nvGraphicFramePr>
      <xdr:xfrm>
        <a:off x="5122440" y="2171880"/>
        <a:ext cx="575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0</xdr:row>
      <xdr:rowOff>0</xdr:rowOff>
    </xdr:from>
    <xdr:to>
      <xdr:col>14</xdr:col>
      <xdr:colOff>255960</xdr:colOff>
      <xdr:row>19</xdr:row>
      <xdr:rowOff>185760</xdr:rowOff>
    </xdr:to>
    <xdr:graphicFrame>
      <xdr:nvGraphicFramePr>
        <xdr:cNvPr id="15" name="Chart 1"/>
        <xdr:cNvGraphicFramePr/>
      </xdr:nvGraphicFramePr>
      <xdr:xfrm>
        <a:off x="5404320" y="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10</xdr:row>
      <xdr:rowOff>0</xdr:rowOff>
    </xdr:from>
    <xdr:to>
      <xdr:col>13</xdr:col>
      <xdr:colOff>147600</xdr:colOff>
      <xdr:row>29</xdr:row>
      <xdr:rowOff>92520</xdr:rowOff>
    </xdr:to>
    <xdr:graphicFrame>
      <xdr:nvGraphicFramePr>
        <xdr:cNvPr id="16" name="Chart 2"/>
        <xdr:cNvGraphicFramePr/>
      </xdr:nvGraphicFramePr>
      <xdr:xfrm>
        <a:off x="5404320" y="2171880"/>
        <a:ext cx="5039640" cy="39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33"/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"/>
  </cols>
  <sheetData>
    <row r="1" customFormat="false" ht="27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B2" s="1"/>
      <c r="C2" s="1"/>
      <c r="D2" s="1"/>
      <c r="E2" s="1"/>
      <c r="F2" s="1"/>
      <c r="G2" s="1"/>
      <c r="H2" s="1"/>
      <c r="I2" s="1"/>
    </row>
    <row r="3" customFormat="false" ht="19.5" hidden="false" customHeight="true" outlineLevel="0" collapsed="false">
      <c r="B3" s="2" t="s">
        <v>1</v>
      </c>
      <c r="C3" s="2"/>
      <c r="D3" s="2"/>
      <c r="E3" s="2"/>
      <c r="F3" s="2"/>
      <c r="G3" s="2"/>
      <c r="H3" s="2"/>
      <c r="I3" s="2"/>
    </row>
    <row r="4" customFormat="false" ht="18" hidden="false" customHeight="true" outlineLevel="0" collapsed="false"/>
    <row r="5" customFormat="false" ht="18" hidden="false" customHeight="true" outlineLevel="0" collapsed="false">
      <c r="B5" s="3" t="s">
        <v>2</v>
      </c>
      <c r="C5" s="3"/>
      <c r="D5" s="4" t="s">
        <v>3</v>
      </c>
      <c r="E5" s="4"/>
      <c r="F5" s="5" t="s">
        <v>4</v>
      </c>
      <c r="G5" s="5"/>
      <c r="H5" s="6" t="s">
        <v>5</v>
      </c>
      <c r="I5" s="6"/>
    </row>
    <row r="6" customFormat="false" ht="27.75" hidden="false" customHeight="true" outlineLevel="0" collapsed="false">
      <c r="B6" s="7" t="s">
        <v>6</v>
      </c>
      <c r="C6" s="7"/>
      <c r="D6" s="8" t="s">
        <v>7</v>
      </c>
      <c r="E6" s="8"/>
      <c r="F6" s="9" t="s">
        <v>8</v>
      </c>
      <c r="G6" s="9"/>
      <c r="H6" s="10" t="s">
        <v>9</v>
      </c>
      <c r="I6" s="10"/>
    </row>
    <row r="7" customFormat="false" ht="18" hidden="false" customHeight="true" outlineLevel="0" collapsed="false">
      <c r="B7" s="11" t="s">
        <v>10</v>
      </c>
      <c r="C7" s="11"/>
      <c r="D7" s="11" t="s">
        <v>11</v>
      </c>
      <c r="E7" s="11"/>
      <c r="F7" s="11" t="s">
        <v>12</v>
      </c>
      <c r="G7" s="11"/>
      <c r="H7" s="11" t="s">
        <v>13</v>
      </c>
      <c r="I7" s="11"/>
    </row>
    <row r="8" customFormat="false" ht="7.5" hidden="false" customHeight="true" outlineLevel="0" collapsed="false">
      <c r="B8" s="12"/>
      <c r="C8" s="12"/>
      <c r="D8" s="13"/>
      <c r="E8" s="13"/>
      <c r="F8" s="14"/>
      <c r="G8" s="14"/>
      <c r="H8" s="15"/>
      <c r="I8" s="15"/>
    </row>
    <row r="9" customFormat="false" ht="18" hidden="false" customHeight="true" outlineLevel="0" collapsed="false"/>
    <row r="10" customFormat="false" ht="18" hidden="false" customHeight="true" outlineLevel="0" collapsed="false">
      <c r="B10" s="3" t="s">
        <v>14</v>
      </c>
      <c r="C10" s="3"/>
      <c r="D10" s="4" t="s">
        <v>15</v>
      </c>
      <c r="E10" s="4"/>
      <c r="F10" s="5" t="s">
        <v>16</v>
      </c>
      <c r="G10" s="5"/>
      <c r="H10" s="6" t="s">
        <v>17</v>
      </c>
      <c r="I10" s="6"/>
    </row>
    <row r="11" customFormat="false" ht="27.75" hidden="false" customHeight="true" outlineLevel="0" collapsed="false">
      <c r="B11" s="7" t="s">
        <v>18</v>
      </c>
      <c r="C11" s="7"/>
      <c r="D11" s="8" t="s">
        <v>19</v>
      </c>
      <c r="E11" s="8"/>
      <c r="F11" s="9" t="s">
        <v>20</v>
      </c>
      <c r="G11" s="9"/>
      <c r="H11" s="10" t="s">
        <v>21</v>
      </c>
      <c r="I11" s="10"/>
    </row>
    <row r="12" customFormat="false" ht="18" hidden="false" customHeight="true" outlineLevel="0" collapsed="false">
      <c r="B12" s="11" t="s">
        <v>22</v>
      </c>
      <c r="C12" s="11"/>
      <c r="D12" s="11" t="s">
        <v>23</v>
      </c>
      <c r="E12" s="11"/>
      <c r="F12" s="11" t="s">
        <v>24</v>
      </c>
      <c r="G12" s="11"/>
      <c r="H12" s="11" t="s">
        <v>25</v>
      </c>
      <c r="I12" s="11"/>
    </row>
    <row r="13" customFormat="false" ht="7.5" hidden="false" customHeight="true" outlineLevel="0" collapsed="false">
      <c r="B13" s="12"/>
      <c r="C13" s="12"/>
      <c r="D13" s="13"/>
      <c r="E13" s="13"/>
      <c r="F13" s="14"/>
      <c r="G13" s="14"/>
      <c r="H13" s="15"/>
      <c r="I13" s="15"/>
    </row>
    <row r="14" customFormat="false" ht="18" hidden="false" customHeight="true" outlineLevel="0" collapsed="false"/>
    <row r="15" customFormat="false" ht="21.75" hidden="false" customHeight="true" outlineLevel="0" collapsed="false">
      <c r="B15" s="16" t="s">
        <v>26</v>
      </c>
      <c r="C15" s="16"/>
      <c r="D15" s="16"/>
      <c r="E15" s="16"/>
      <c r="F15" s="16"/>
      <c r="G15" s="16"/>
      <c r="H15" s="16"/>
      <c r="I15" s="16"/>
    </row>
    <row r="16" customFormat="false" ht="21.75" hidden="false" customHeight="true" outlineLevel="0" collapsed="false">
      <c r="B16" s="17" t="s">
        <v>27</v>
      </c>
      <c r="C16" s="17" t="s">
        <v>28</v>
      </c>
      <c r="D16" s="17" t="s">
        <v>29</v>
      </c>
    </row>
    <row r="17" customFormat="false" ht="16.5" hidden="false" customHeight="true" outlineLevel="0" collapsed="false">
      <c r="B17" s="18" t="s">
        <v>30</v>
      </c>
      <c r="C17" s="18" t="n">
        <v>40</v>
      </c>
      <c r="D17" s="18" t="s">
        <v>31</v>
      </c>
    </row>
    <row r="18" customFormat="false" ht="16.5" hidden="false" customHeight="true" outlineLevel="0" collapsed="false">
      <c r="B18" s="19" t="s">
        <v>32</v>
      </c>
      <c r="C18" s="19" t="n">
        <v>37</v>
      </c>
      <c r="D18" s="19" t="s">
        <v>33</v>
      </c>
    </row>
    <row r="19" customFormat="false" ht="16.5" hidden="false" customHeight="true" outlineLevel="0" collapsed="false">
      <c r="B19" s="18" t="s">
        <v>34</v>
      </c>
      <c r="C19" s="18" t="s">
        <v>35</v>
      </c>
      <c r="D19" s="18" t="s">
        <v>36</v>
      </c>
    </row>
    <row r="20" customFormat="false" ht="16.5" hidden="false" customHeight="true" outlineLevel="0" collapsed="false">
      <c r="B20" s="19" t="s">
        <v>37</v>
      </c>
      <c r="C20" s="19" t="n">
        <v>18</v>
      </c>
      <c r="D20" s="19" t="s">
        <v>38</v>
      </c>
    </row>
    <row r="21" customFormat="false" ht="16.5" hidden="false" customHeight="true" outlineLevel="0" collapsed="false">
      <c r="B21" s="18" t="s">
        <v>39</v>
      </c>
      <c r="C21" s="18" t="n">
        <v>10</v>
      </c>
      <c r="D21" s="18" t="s">
        <v>40</v>
      </c>
    </row>
    <row r="22" customFormat="false" ht="16.5" hidden="false" customHeight="true" outlineLevel="0" collapsed="false">
      <c r="B22" s="19" t="s">
        <v>41</v>
      </c>
      <c r="C22" s="19" t="n">
        <v>9</v>
      </c>
      <c r="D22" s="19" t="s">
        <v>42</v>
      </c>
    </row>
    <row r="23" customFormat="false" ht="16.5" hidden="false" customHeight="true" outlineLevel="0" collapsed="false">
      <c r="B23" s="18" t="s">
        <v>43</v>
      </c>
      <c r="C23" s="18" t="n">
        <v>26</v>
      </c>
      <c r="D23" s="18" t="s">
        <v>44</v>
      </c>
    </row>
    <row r="24" customFormat="false" ht="16.5" hidden="false" customHeight="true" outlineLevel="0" collapsed="false">
      <c r="B24" s="19" t="s">
        <v>45</v>
      </c>
      <c r="C24" s="19" t="n">
        <v>24</v>
      </c>
      <c r="D24" s="19" t="s">
        <v>46</v>
      </c>
    </row>
    <row r="25" customFormat="false" ht="16.5" hidden="false" customHeight="true" outlineLevel="0" collapsed="false">
      <c r="B25" s="18" t="s">
        <v>47</v>
      </c>
      <c r="C25" s="18" t="n">
        <v>32</v>
      </c>
      <c r="D25" s="18" t="s">
        <v>48</v>
      </c>
    </row>
    <row r="26" customFormat="false" ht="16.5" hidden="false" customHeight="true" outlineLevel="0" collapsed="false">
      <c r="B26" s="19" t="s">
        <v>49</v>
      </c>
      <c r="C26" s="19" t="n">
        <v>19</v>
      </c>
      <c r="D26" s="19" t="s">
        <v>50</v>
      </c>
    </row>
    <row r="27" customFormat="false" ht="16.5" hidden="false" customHeight="true" outlineLevel="0" collapsed="false">
      <c r="B27" s="18" t="s">
        <v>51</v>
      </c>
      <c r="C27" s="18" t="n">
        <v>29</v>
      </c>
      <c r="D27" s="18" t="s">
        <v>52</v>
      </c>
    </row>
    <row r="28" customFormat="false" ht="16.5" hidden="false" customHeight="true" outlineLevel="0" collapsed="false">
      <c r="B28" s="19" t="s">
        <v>53</v>
      </c>
      <c r="C28" s="19" t="n">
        <v>25</v>
      </c>
      <c r="D28" s="19" t="s">
        <v>54</v>
      </c>
    </row>
    <row r="29" customFormat="false" ht="16.5" hidden="false" customHeight="true" outlineLevel="0" collapsed="false">
      <c r="B29" s="18" t="s">
        <v>55</v>
      </c>
      <c r="C29" s="18" t="n">
        <v>16</v>
      </c>
      <c r="D29" s="18" t="s">
        <v>56</v>
      </c>
    </row>
    <row r="30" customFormat="false" ht="18" hidden="false" customHeight="true" outlineLevel="0" collapsed="false"/>
    <row r="31" customFormat="false" ht="18" hidden="false" customHeight="true" outlineLevel="0" collapsed="false"/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18" hidden="false" customHeight="true" outlineLevel="0" collapsed="false"/>
    <row r="37" customFormat="false" ht="18" hidden="false" customHeight="true" outlineLevel="0" collapsed="false"/>
    <row r="38" customFormat="false" ht="18" hidden="false" customHeight="true" outlineLevel="0" collapsed="false"/>
    <row r="39" customFormat="false" ht="18" hidden="false" customHeight="true" outlineLevel="0" collapsed="false"/>
    <row r="40" customFormat="false" ht="18" hidden="false" customHeight="true" outlineLevel="0" collapsed="false"/>
    <row r="41" customFormat="false" ht="18" hidden="false" customHeight="true" outlineLevel="0" collapsed="false"/>
    <row r="42" customFormat="false" ht="18" hidden="false" customHeight="true" outlineLevel="0" collapsed="false"/>
    <row r="43" customFormat="false" ht="18" hidden="false" customHeight="true" outlineLevel="0" collapsed="false"/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35">
    <mergeCell ref="B1:I2"/>
    <mergeCell ref="B3:I3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10:C10"/>
    <mergeCell ref="D10:E10"/>
    <mergeCell ref="F10:G10"/>
    <mergeCell ref="H10:I10"/>
    <mergeCell ref="B11:C11"/>
    <mergeCell ref="D11:E11"/>
    <mergeCell ref="F11:G11"/>
    <mergeCell ref="H11:I11"/>
    <mergeCell ref="B12:C12"/>
    <mergeCell ref="D12:E12"/>
    <mergeCell ref="F12:G12"/>
    <mergeCell ref="H12:I12"/>
    <mergeCell ref="B13:C13"/>
    <mergeCell ref="D13:E13"/>
    <mergeCell ref="F13:G13"/>
    <mergeCell ref="H13:I13"/>
    <mergeCell ref="B15:I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4D26"/>
    <pageSetUpPr fitToPage="false"/>
  </sheetPr>
  <dimension ref="A1:X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6" min="4" style="0" width="13"/>
    <col collapsed="false" customWidth="true" hidden="false" outlineLevel="0" max="7" min="7" style="0" width="15"/>
    <col collapsed="false" customWidth="true" hidden="false" outlineLevel="0" max="8" min="8" style="0" width="13"/>
    <col collapsed="false" customWidth="true" hidden="false" outlineLevel="0" max="10" min="9" style="0" width="8"/>
    <col collapsed="false" customWidth="true" hidden="false" outlineLevel="0" max="11" min="11" style="0" width="13"/>
    <col collapsed="false" customWidth="true" hidden="false" outlineLevel="0" max="12" min="12" style="0" width="12"/>
    <col collapsed="false" customWidth="true" hidden="false" outlineLevel="0" max="14" min="13" style="0" width="18"/>
    <col collapsed="false" customWidth="true" hidden="false" outlineLevel="0" max="15" min="15" style="0" width="12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14"/>
    <col collapsed="false" customWidth="true" hidden="false" outlineLevel="0" max="19" min="19" style="0" width="22"/>
    <col collapsed="false" customWidth="true" hidden="false" outlineLevel="0" max="20" min="20" style="0" width="18"/>
    <col collapsed="false" customWidth="true" hidden="false" outlineLevel="0" max="21" min="21" style="0" width="16"/>
    <col collapsed="false" customWidth="true" hidden="false" outlineLevel="0" max="23" min="22" style="0" width="14"/>
    <col collapsed="false" customWidth="true" hidden="false" outlineLevel="0" max="24" min="24" style="0" width="22"/>
  </cols>
  <sheetData>
    <row r="1" customFormat="false" ht="27.75" hidden="false" customHeight="true" outlineLevel="0" collapsed="false">
      <c r="A1" s="20" t="s">
        <v>57</v>
      </c>
      <c r="B1" s="20" t="s">
        <v>58</v>
      </c>
      <c r="C1" s="20" t="s">
        <v>59</v>
      </c>
      <c r="D1" s="20" t="s">
        <v>60</v>
      </c>
      <c r="E1" s="20" t="s">
        <v>61</v>
      </c>
      <c r="F1" s="20" t="s">
        <v>62</v>
      </c>
      <c r="G1" s="20" t="s">
        <v>63</v>
      </c>
      <c r="H1" s="20" t="s">
        <v>64</v>
      </c>
      <c r="I1" s="20" t="s">
        <v>65</v>
      </c>
      <c r="J1" s="20" t="s">
        <v>66</v>
      </c>
      <c r="K1" s="20" t="s">
        <v>67</v>
      </c>
      <c r="L1" s="20" t="s">
        <v>68</v>
      </c>
      <c r="M1" s="20" t="s">
        <v>69</v>
      </c>
      <c r="N1" s="20" t="s">
        <v>70</v>
      </c>
      <c r="O1" s="20" t="s">
        <v>71</v>
      </c>
      <c r="P1" s="20" t="s">
        <v>72</v>
      </c>
      <c r="Q1" s="20" t="s">
        <v>73</v>
      </c>
      <c r="R1" s="20" t="s">
        <v>74</v>
      </c>
      <c r="S1" s="20" t="s">
        <v>75</v>
      </c>
      <c r="T1" s="20" t="s">
        <v>76</v>
      </c>
      <c r="U1" s="20" t="s">
        <v>77</v>
      </c>
      <c r="V1" s="20" t="s">
        <v>78</v>
      </c>
      <c r="W1" s="20" t="s">
        <v>79</v>
      </c>
      <c r="X1" s="20" t="s">
        <v>80</v>
      </c>
    </row>
    <row r="2" customFormat="false" ht="15.75" hidden="false" customHeight="true" outlineLevel="0" collapsed="false">
      <c r="A2" s="19" t="s">
        <v>81</v>
      </c>
      <c r="B2" s="19" t="n">
        <v>34</v>
      </c>
      <c r="C2" s="19" t="s">
        <v>82</v>
      </c>
      <c r="D2" s="19" t="n">
        <v>1</v>
      </c>
      <c r="E2" s="19" t="n">
        <v>2</v>
      </c>
      <c r="F2" s="19" t="n">
        <v>5</v>
      </c>
      <c r="G2" s="19" t="n">
        <v>3</v>
      </c>
      <c r="H2" s="19" t="n">
        <v>7</v>
      </c>
      <c r="I2" s="19" t="n">
        <v>6</v>
      </c>
      <c r="J2" s="19" t="n">
        <v>4</v>
      </c>
      <c r="K2" s="19" t="s">
        <v>82</v>
      </c>
      <c r="L2" s="19" t="s">
        <v>20</v>
      </c>
      <c r="M2" s="19" t="s">
        <v>83</v>
      </c>
      <c r="N2" s="19" t="s">
        <v>84</v>
      </c>
      <c r="O2" s="19" t="s">
        <v>85</v>
      </c>
      <c r="P2" s="19" t="s">
        <v>86</v>
      </c>
      <c r="Q2" s="19" t="s">
        <v>87</v>
      </c>
      <c r="R2" s="19" t="s">
        <v>7</v>
      </c>
      <c r="S2" s="19" t="s">
        <v>88</v>
      </c>
      <c r="T2" s="19" t="s">
        <v>83</v>
      </c>
      <c r="U2" s="19" t="s">
        <v>89</v>
      </c>
      <c r="V2" s="19" t="s">
        <v>90</v>
      </c>
      <c r="W2" s="19" t="s">
        <v>91</v>
      </c>
      <c r="X2" s="19" t="s">
        <v>92</v>
      </c>
    </row>
    <row r="3" customFormat="false" ht="15.75" hidden="false" customHeight="true" outlineLevel="0" collapsed="false">
      <c r="A3" s="18" t="s">
        <v>81</v>
      </c>
      <c r="B3" s="18" t="n">
        <v>23</v>
      </c>
      <c r="C3" s="18" t="s">
        <v>82</v>
      </c>
      <c r="D3" s="18" t="n">
        <v>4</v>
      </c>
      <c r="E3" s="18" t="n">
        <v>3</v>
      </c>
      <c r="F3" s="18" t="n">
        <v>2</v>
      </c>
      <c r="G3" s="18" t="n">
        <v>1</v>
      </c>
      <c r="H3" s="18" t="n">
        <v>5</v>
      </c>
      <c r="I3" s="18" t="n">
        <v>6</v>
      </c>
      <c r="J3" s="18" t="n">
        <v>7</v>
      </c>
      <c r="K3" s="18" t="s">
        <v>93</v>
      </c>
      <c r="L3" s="18" t="s">
        <v>94</v>
      </c>
      <c r="M3" s="18" t="s">
        <v>83</v>
      </c>
      <c r="N3" s="18" t="s">
        <v>84</v>
      </c>
      <c r="O3" s="18" t="s">
        <v>95</v>
      </c>
      <c r="P3" s="18" t="s">
        <v>96</v>
      </c>
      <c r="Q3" s="18" t="s">
        <v>87</v>
      </c>
      <c r="R3" s="18" t="s">
        <v>7</v>
      </c>
      <c r="S3" s="18" t="s">
        <v>97</v>
      </c>
      <c r="T3" s="18" t="s">
        <v>98</v>
      </c>
      <c r="U3" s="18" t="s">
        <v>89</v>
      </c>
      <c r="V3" s="18" t="s">
        <v>90</v>
      </c>
      <c r="W3" s="18" t="s">
        <v>99</v>
      </c>
      <c r="X3" s="18" t="s">
        <v>100</v>
      </c>
    </row>
    <row r="4" customFormat="false" ht="15.75" hidden="false" customHeight="true" outlineLevel="0" collapsed="false">
      <c r="A4" s="19" t="s">
        <v>101</v>
      </c>
      <c r="B4" s="19" t="n">
        <v>30</v>
      </c>
      <c r="C4" s="19" t="s">
        <v>82</v>
      </c>
      <c r="D4" s="19" t="n">
        <v>3</v>
      </c>
      <c r="E4" s="19" t="n">
        <v>6</v>
      </c>
      <c r="F4" s="19" t="n">
        <v>4</v>
      </c>
      <c r="G4" s="19" t="n">
        <v>2</v>
      </c>
      <c r="H4" s="19" t="n">
        <v>5</v>
      </c>
      <c r="I4" s="19" t="n">
        <v>1</v>
      </c>
      <c r="J4" s="19" t="n">
        <v>7</v>
      </c>
      <c r="K4" s="19" t="s">
        <v>82</v>
      </c>
      <c r="L4" s="19" t="s">
        <v>20</v>
      </c>
      <c r="M4" s="19" t="s">
        <v>83</v>
      </c>
      <c r="N4" s="19" t="s">
        <v>84</v>
      </c>
      <c r="O4" s="19" t="s">
        <v>102</v>
      </c>
      <c r="P4" s="19" t="s">
        <v>103</v>
      </c>
      <c r="Q4" s="19" t="s">
        <v>87</v>
      </c>
      <c r="R4" s="19" t="s">
        <v>104</v>
      </c>
      <c r="S4" s="19" t="s">
        <v>88</v>
      </c>
      <c r="T4" s="19" t="s">
        <v>83</v>
      </c>
      <c r="U4" s="19" t="s">
        <v>105</v>
      </c>
      <c r="V4" s="19" t="s">
        <v>106</v>
      </c>
      <c r="W4" s="19" t="s">
        <v>91</v>
      </c>
      <c r="X4" s="19" t="s">
        <v>107</v>
      </c>
    </row>
    <row r="5" customFormat="false" ht="15.75" hidden="false" customHeight="true" outlineLevel="0" collapsed="false">
      <c r="A5" s="18" t="s">
        <v>101</v>
      </c>
      <c r="B5" s="18" t="n">
        <v>22</v>
      </c>
      <c r="C5" s="18" t="s">
        <v>82</v>
      </c>
      <c r="D5" s="18" t="n">
        <v>2</v>
      </c>
      <c r="E5" s="18" t="n">
        <v>1</v>
      </c>
      <c r="F5" s="18" t="n">
        <v>3</v>
      </c>
      <c r="G5" s="18" t="n">
        <v>7</v>
      </c>
      <c r="H5" s="18" t="n">
        <v>6</v>
      </c>
      <c r="I5" s="18" t="n">
        <v>4</v>
      </c>
      <c r="J5" s="18" t="n">
        <v>5</v>
      </c>
      <c r="K5" s="18" t="s">
        <v>82</v>
      </c>
      <c r="L5" s="18" t="s">
        <v>20</v>
      </c>
      <c r="M5" s="18" t="s">
        <v>108</v>
      </c>
      <c r="N5" s="18" t="s">
        <v>84</v>
      </c>
      <c r="O5" s="18" t="s">
        <v>109</v>
      </c>
      <c r="P5" s="18" t="s">
        <v>103</v>
      </c>
      <c r="Q5" s="18" t="s">
        <v>110</v>
      </c>
      <c r="R5" s="18" t="s">
        <v>104</v>
      </c>
      <c r="S5" s="18" t="s">
        <v>88</v>
      </c>
      <c r="T5" s="18" t="s">
        <v>98</v>
      </c>
      <c r="U5" s="18" t="s">
        <v>111</v>
      </c>
      <c r="V5" s="18" t="s">
        <v>112</v>
      </c>
      <c r="W5" s="18" t="s">
        <v>99</v>
      </c>
      <c r="X5" s="18" t="s">
        <v>113</v>
      </c>
    </row>
    <row r="6" customFormat="false" ht="15.75" hidden="false" customHeight="true" outlineLevel="0" collapsed="false">
      <c r="A6" s="19" t="s">
        <v>81</v>
      </c>
      <c r="B6" s="19" t="n">
        <v>24</v>
      </c>
      <c r="C6" s="19" t="s">
        <v>93</v>
      </c>
      <c r="D6" s="19" t="n">
        <v>2</v>
      </c>
      <c r="E6" s="19" t="n">
        <v>1</v>
      </c>
      <c r="F6" s="19" t="n">
        <v>3</v>
      </c>
      <c r="G6" s="19" t="n">
        <v>6</v>
      </c>
      <c r="H6" s="19" t="n">
        <v>4</v>
      </c>
      <c r="I6" s="19" t="n">
        <v>5</v>
      </c>
      <c r="J6" s="19" t="n">
        <v>7</v>
      </c>
      <c r="K6" s="19" t="s">
        <v>93</v>
      </c>
      <c r="L6" s="19" t="s">
        <v>20</v>
      </c>
      <c r="M6" s="19" t="s">
        <v>108</v>
      </c>
      <c r="N6" s="19" t="s">
        <v>84</v>
      </c>
      <c r="O6" s="19" t="s">
        <v>109</v>
      </c>
      <c r="P6" s="19" t="s">
        <v>103</v>
      </c>
      <c r="Q6" s="19" t="s">
        <v>87</v>
      </c>
      <c r="R6" s="19" t="s">
        <v>104</v>
      </c>
      <c r="S6" s="19" t="s">
        <v>88</v>
      </c>
      <c r="T6" s="19" t="s">
        <v>83</v>
      </c>
      <c r="U6" s="19" t="s">
        <v>89</v>
      </c>
      <c r="V6" s="19" t="s">
        <v>90</v>
      </c>
      <c r="W6" s="19" t="s">
        <v>114</v>
      </c>
      <c r="X6" s="19" t="s">
        <v>113</v>
      </c>
    </row>
    <row r="7" customFormat="false" ht="15.75" hidden="false" customHeight="true" outlineLevel="0" collapsed="false">
      <c r="A7" s="18" t="s">
        <v>81</v>
      </c>
      <c r="B7" s="18" t="n">
        <v>24</v>
      </c>
      <c r="C7" s="18" t="s">
        <v>93</v>
      </c>
      <c r="D7" s="18" t="n">
        <v>7</v>
      </c>
      <c r="E7" s="18" t="n">
        <v>5</v>
      </c>
      <c r="F7" s="18" t="n">
        <v>4</v>
      </c>
      <c r="G7" s="18" t="n">
        <v>6</v>
      </c>
      <c r="H7" s="18" t="n">
        <v>3</v>
      </c>
      <c r="I7" s="18" t="n">
        <v>1</v>
      </c>
      <c r="J7" s="18" t="n">
        <v>2</v>
      </c>
      <c r="K7" s="18" t="s">
        <v>93</v>
      </c>
      <c r="L7" s="18" t="s">
        <v>115</v>
      </c>
      <c r="M7" s="18" t="s">
        <v>83</v>
      </c>
      <c r="N7" s="18" t="s">
        <v>84</v>
      </c>
      <c r="O7" s="18" t="s">
        <v>85</v>
      </c>
      <c r="P7" s="18" t="s">
        <v>103</v>
      </c>
      <c r="Q7" s="18" t="s">
        <v>116</v>
      </c>
      <c r="R7" s="18" t="s">
        <v>7</v>
      </c>
      <c r="S7" s="18" t="s">
        <v>88</v>
      </c>
      <c r="T7" s="18" t="s">
        <v>117</v>
      </c>
      <c r="U7" s="18" t="s">
        <v>111</v>
      </c>
      <c r="V7" s="18" t="s">
        <v>90</v>
      </c>
      <c r="W7" s="18" t="s">
        <v>114</v>
      </c>
      <c r="X7" s="18" t="s">
        <v>113</v>
      </c>
    </row>
    <row r="8" customFormat="false" ht="15.75" hidden="false" customHeight="true" outlineLevel="0" collapsed="false">
      <c r="A8" s="19" t="s">
        <v>81</v>
      </c>
      <c r="B8" s="19" t="n">
        <v>27</v>
      </c>
      <c r="C8" s="19" t="s">
        <v>82</v>
      </c>
      <c r="D8" s="19" t="n">
        <v>3</v>
      </c>
      <c r="E8" s="19" t="n">
        <v>6</v>
      </c>
      <c r="F8" s="19" t="n">
        <v>4</v>
      </c>
      <c r="G8" s="19" t="n">
        <v>2</v>
      </c>
      <c r="H8" s="19" t="n">
        <v>5</v>
      </c>
      <c r="I8" s="19" t="n">
        <v>1</v>
      </c>
      <c r="J8" s="19" t="n">
        <v>7</v>
      </c>
      <c r="K8" s="19" t="s">
        <v>82</v>
      </c>
      <c r="L8" s="19" t="s">
        <v>20</v>
      </c>
      <c r="M8" s="19" t="s">
        <v>83</v>
      </c>
      <c r="N8" s="19" t="s">
        <v>84</v>
      </c>
      <c r="O8" s="19" t="s">
        <v>102</v>
      </c>
      <c r="P8" s="19" t="s">
        <v>86</v>
      </c>
      <c r="Q8" s="19" t="s">
        <v>87</v>
      </c>
      <c r="R8" s="19" t="s">
        <v>104</v>
      </c>
      <c r="S8" s="19" t="s">
        <v>88</v>
      </c>
      <c r="T8" s="19" t="s">
        <v>83</v>
      </c>
      <c r="U8" s="19" t="s">
        <v>89</v>
      </c>
      <c r="V8" s="19" t="s">
        <v>106</v>
      </c>
      <c r="W8" s="19" t="s">
        <v>99</v>
      </c>
      <c r="X8" s="19" t="s">
        <v>100</v>
      </c>
    </row>
    <row r="9" customFormat="false" ht="15.75" hidden="false" customHeight="true" outlineLevel="0" collapsed="false">
      <c r="A9" s="18" t="s">
        <v>101</v>
      </c>
      <c r="B9" s="18" t="n">
        <v>21</v>
      </c>
      <c r="C9" s="18" t="s">
        <v>82</v>
      </c>
      <c r="D9" s="18" t="n">
        <v>2</v>
      </c>
      <c r="E9" s="18" t="n">
        <v>3</v>
      </c>
      <c r="F9" s="18" t="n">
        <v>7</v>
      </c>
      <c r="G9" s="18" t="n">
        <v>4</v>
      </c>
      <c r="H9" s="18" t="n">
        <v>6</v>
      </c>
      <c r="I9" s="18" t="n">
        <v>1</v>
      </c>
      <c r="J9" s="18" t="n">
        <v>5</v>
      </c>
      <c r="K9" s="18" t="s">
        <v>82</v>
      </c>
      <c r="L9" s="18" t="s">
        <v>115</v>
      </c>
      <c r="M9" s="18" t="s">
        <v>83</v>
      </c>
      <c r="N9" s="18" t="s">
        <v>84</v>
      </c>
      <c r="O9" s="18" t="s">
        <v>102</v>
      </c>
      <c r="P9" s="18" t="s">
        <v>86</v>
      </c>
      <c r="Q9" s="18" t="s">
        <v>87</v>
      </c>
      <c r="R9" s="18" t="s">
        <v>7</v>
      </c>
      <c r="S9" s="18" t="s">
        <v>88</v>
      </c>
      <c r="T9" s="18" t="s">
        <v>83</v>
      </c>
      <c r="U9" s="18" t="s">
        <v>89</v>
      </c>
      <c r="V9" s="18" t="s">
        <v>106</v>
      </c>
      <c r="W9" s="18" t="s">
        <v>114</v>
      </c>
      <c r="X9" s="18" t="s">
        <v>92</v>
      </c>
    </row>
    <row r="10" customFormat="false" ht="15.75" hidden="false" customHeight="true" outlineLevel="0" collapsed="false">
      <c r="A10" s="19" t="s">
        <v>101</v>
      </c>
      <c r="B10" s="19" t="n">
        <v>35</v>
      </c>
      <c r="C10" s="19" t="s">
        <v>82</v>
      </c>
      <c r="D10" s="19" t="n">
        <v>2</v>
      </c>
      <c r="E10" s="19" t="n">
        <v>4</v>
      </c>
      <c r="F10" s="19" t="n">
        <v>7</v>
      </c>
      <c r="G10" s="19" t="n">
        <v>5</v>
      </c>
      <c r="H10" s="19" t="n">
        <v>3</v>
      </c>
      <c r="I10" s="19" t="n">
        <v>1</v>
      </c>
      <c r="J10" s="19" t="n">
        <v>6</v>
      </c>
      <c r="K10" s="19" t="s">
        <v>82</v>
      </c>
      <c r="L10" s="19" t="s">
        <v>20</v>
      </c>
      <c r="M10" s="19" t="s">
        <v>118</v>
      </c>
      <c r="N10" s="19" t="s">
        <v>119</v>
      </c>
      <c r="O10" s="19" t="s">
        <v>85</v>
      </c>
      <c r="P10" s="19" t="s">
        <v>96</v>
      </c>
      <c r="Q10" s="19" t="s">
        <v>87</v>
      </c>
      <c r="R10" s="19" t="s">
        <v>104</v>
      </c>
      <c r="S10" s="19" t="s">
        <v>88</v>
      </c>
      <c r="T10" s="19" t="s">
        <v>83</v>
      </c>
      <c r="U10" s="19" t="s">
        <v>111</v>
      </c>
      <c r="V10" s="19" t="s">
        <v>90</v>
      </c>
      <c r="W10" s="19" t="s">
        <v>91</v>
      </c>
      <c r="X10" s="19" t="s">
        <v>107</v>
      </c>
    </row>
    <row r="11" customFormat="false" ht="15.75" hidden="false" customHeight="true" outlineLevel="0" collapsed="false">
      <c r="A11" s="18" t="s">
        <v>101</v>
      </c>
      <c r="B11" s="18" t="n">
        <v>31</v>
      </c>
      <c r="C11" s="18" t="s">
        <v>82</v>
      </c>
      <c r="D11" s="18" t="n">
        <v>1</v>
      </c>
      <c r="E11" s="18" t="n">
        <v>3</v>
      </c>
      <c r="F11" s="18" t="n">
        <v>7</v>
      </c>
      <c r="G11" s="18" t="n">
        <v>4</v>
      </c>
      <c r="H11" s="18" t="n">
        <v>5</v>
      </c>
      <c r="I11" s="18" t="n">
        <v>2</v>
      </c>
      <c r="J11" s="18" t="n">
        <v>6</v>
      </c>
      <c r="K11" s="18" t="s">
        <v>82</v>
      </c>
      <c r="L11" s="18" t="s">
        <v>20</v>
      </c>
      <c r="M11" s="18" t="s">
        <v>83</v>
      </c>
      <c r="N11" s="18" t="s">
        <v>84</v>
      </c>
      <c r="O11" s="18" t="s">
        <v>102</v>
      </c>
      <c r="P11" s="18" t="s">
        <v>86</v>
      </c>
      <c r="Q11" s="18" t="s">
        <v>116</v>
      </c>
      <c r="R11" s="18" t="s">
        <v>120</v>
      </c>
      <c r="S11" s="18" t="s">
        <v>88</v>
      </c>
      <c r="T11" s="18" t="s">
        <v>83</v>
      </c>
      <c r="U11" s="18" t="s">
        <v>111</v>
      </c>
      <c r="V11" s="18" t="s">
        <v>106</v>
      </c>
      <c r="W11" s="18" t="s">
        <v>91</v>
      </c>
      <c r="X11" s="18" t="s">
        <v>92</v>
      </c>
    </row>
    <row r="12" customFormat="false" ht="15.75" hidden="false" customHeight="true" outlineLevel="0" collapsed="false">
      <c r="A12" s="19" t="s">
        <v>81</v>
      </c>
      <c r="B12" s="19" t="n">
        <v>35</v>
      </c>
      <c r="C12" s="19" t="s">
        <v>82</v>
      </c>
      <c r="D12" s="19" t="n">
        <v>2</v>
      </c>
      <c r="E12" s="19" t="n">
        <v>4</v>
      </c>
      <c r="F12" s="19" t="n">
        <v>7</v>
      </c>
      <c r="G12" s="19" t="n">
        <v>5</v>
      </c>
      <c r="H12" s="19" t="n">
        <v>3</v>
      </c>
      <c r="I12" s="19" t="n">
        <v>1</v>
      </c>
      <c r="J12" s="19" t="n">
        <v>6</v>
      </c>
      <c r="K12" s="19" t="s">
        <v>82</v>
      </c>
      <c r="L12" s="19" t="s">
        <v>115</v>
      </c>
      <c r="M12" s="19" t="s">
        <v>118</v>
      </c>
      <c r="N12" s="19" t="s">
        <v>119</v>
      </c>
      <c r="O12" s="19" t="s">
        <v>102</v>
      </c>
      <c r="P12" s="19" t="s">
        <v>86</v>
      </c>
      <c r="Q12" s="19" t="s">
        <v>87</v>
      </c>
      <c r="R12" s="19" t="s">
        <v>7</v>
      </c>
      <c r="S12" s="19" t="s">
        <v>88</v>
      </c>
      <c r="T12" s="19" t="s">
        <v>83</v>
      </c>
      <c r="U12" s="19" t="s">
        <v>89</v>
      </c>
      <c r="V12" s="19" t="s">
        <v>106</v>
      </c>
      <c r="W12" s="19" t="s">
        <v>114</v>
      </c>
      <c r="X12" s="19" t="s">
        <v>100</v>
      </c>
    </row>
    <row r="13" customFormat="false" ht="15.75" hidden="false" customHeight="true" outlineLevel="0" collapsed="false">
      <c r="A13" s="18" t="s">
        <v>101</v>
      </c>
      <c r="B13" s="18" t="n">
        <v>29</v>
      </c>
      <c r="C13" s="18" t="s">
        <v>82</v>
      </c>
      <c r="D13" s="18" t="n">
        <v>2</v>
      </c>
      <c r="E13" s="18" t="n">
        <v>5</v>
      </c>
      <c r="F13" s="18" t="n">
        <v>7</v>
      </c>
      <c r="G13" s="18" t="n">
        <v>6</v>
      </c>
      <c r="H13" s="18" t="n">
        <v>3</v>
      </c>
      <c r="I13" s="18" t="n">
        <v>1</v>
      </c>
      <c r="J13" s="18" t="n">
        <v>4</v>
      </c>
      <c r="K13" s="18" t="s">
        <v>82</v>
      </c>
      <c r="L13" s="18" t="s">
        <v>115</v>
      </c>
      <c r="M13" s="18" t="s">
        <v>83</v>
      </c>
      <c r="N13" s="18" t="s">
        <v>84</v>
      </c>
      <c r="O13" s="18" t="s">
        <v>85</v>
      </c>
      <c r="P13" s="18" t="s">
        <v>86</v>
      </c>
      <c r="Q13" s="18" t="s">
        <v>87</v>
      </c>
      <c r="R13" s="18" t="s">
        <v>7</v>
      </c>
      <c r="S13" s="18" t="s">
        <v>88</v>
      </c>
      <c r="T13" s="18" t="s">
        <v>83</v>
      </c>
      <c r="U13" s="18" t="s">
        <v>111</v>
      </c>
      <c r="V13" s="18" t="s">
        <v>106</v>
      </c>
      <c r="W13" s="18" t="s">
        <v>91</v>
      </c>
      <c r="X13" s="18" t="s">
        <v>100</v>
      </c>
    </row>
    <row r="14" customFormat="false" ht="15.75" hidden="false" customHeight="true" outlineLevel="0" collapsed="false">
      <c r="A14" s="19" t="s">
        <v>81</v>
      </c>
      <c r="B14" s="19" t="n">
        <v>21</v>
      </c>
      <c r="C14" s="19" t="s">
        <v>93</v>
      </c>
      <c r="D14" s="19" t="n">
        <v>1</v>
      </c>
      <c r="E14" s="19" t="n">
        <v>2</v>
      </c>
      <c r="F14" s="19" t="n">
        <v>3</v>
      </c>
      <c r="G14" s="19" t="n">
        <v>4</v>
      </c>
      <c r="H14" s="19" t="n">
        <v>5</v>
      </c>
      <c r="I14" s="19" t="n">
        <v>6</v>
      </c>
      <c r="J14" s="19" t="n">
        <v>7</v>
      </c>
      <c r="K14" s="19" t="s">
        <v>93</v>
      </c>
      <c r="L14" s="19" t="s">
        <v>20</v>
      </c>
      <c r="M14" s="19" t="s">
        <v>83</v>
      </c>
      <c r="N14" s="19" t="s">
        <v>119</v>
      </c>
      <c r="O14" s="19" t="s">
        <v>85</v>
      </c>
      <c r="P14" s="19" t="s">
        <v>96</v>
      </c>
      <c r="Q14" s="19" t="s">
        <v>87</v>
      </c>
      <c r="R14" s="19" t="s">
        <v>7</v>
      </c>
      <c r="S14" s="19" t="s">
        <v>121</v>
      </c>
      <c r="T14" s="19" t="s">
        <v>98</v>
      </c>
      <c r="U14" s="19" t="s">
        <v>89</v>
      </c>
      <c r="V14" s="19" t="s">
        <v>90</v>
      </c>
      <c r="W14" s="19" t="s">
        <v>114</v>
      </c>
      <c r="X14" s="19" t="s">
        <v>113</v>
      </c>
    </row>
    <row r="15" customFormat="false" ht="15.75" hidden="false" customHeight="true" outlineLevel="0" collapsed="false">
      <c r="A15" s="18" t="s">
        <v>81</v>
      </c>
      <c r="B15" s="18" t="n">
        <v>28</v>
      </c>
      <c r="C15" s="18" t="s">
        <v>82</v>
      </c>
      <c r="D15" s="18" t="n">
        <v>2</v>
      </c>
      <c r="E15" s="18" t="n">
        <v>3</v>
      </c>
      <c r="F15" s="18" t="n">
        <v>7</v>
      </c>
      <c r="G15" s="18" t="n">
        <v>4</v>
      </c>
      <c r="H15" s="18" t="n">
        <v>5</v>
      </c>
      <c r="I15" s="18" t="n">
        <v>1</v>
      </c>
      <c r="J15" s="18" t="n">
        <v>6</v>
      </c>
      <c r="K15" s="18" t="s">
        <v>82</v>
      </c>
      <c r="L15" s="18" t="s">
        <v>20</v>
      </c>
      <c r="M15" s="18" t="s">
        <v>83</v>
      </c>
      <c r="N15" s="18" t="s">
        <v>84</v>
      </c>
      <c r="O15" s="18" t="s">
        <v>85</v>
      </c>
      <c r="P15" s="18" t="s">
        <v>86</v>
      </c>
      <c r="Q15" s="18" t="s">
        <v>87</v>
      </c>
      <c r="R15" s="18" t="s">
        <v>7</v>
      </c>
      <c r="S15" s="18" t="s">
        <v>88</v>
      </c>
      <c r="T15" s="18" t="s">
        <v>83</v>
      </c>
      <c r="U15" s="18" t="s">
        <v>111</v>
      </c>
      <c r="V15" s="18" t="s">
        <v>106</v>
      </c>
      <c r="W15" s="18" t="s">
        <v>114</v>
      </c>
      <c r="X15" s="18" t="s">
        <v>92</v>
      </c>
    </row>
    <row r="16" customFormat="false" ht="15.75" hidden="false" customHeight="true" outlineLevel="0" collapsed="false">
      <c r="A16" s="19" t="s">
        <v>81</v>
      </c>
      <c r="B16" s="19" t="n">
        <v>25</v>
      </c>
      <c r="C16" s="19" t="s">
        <v>82</v>
      </c>
      <c r="D16" s="19" t="n">
        <v>2</v>
      </c>
      <c r="E16" s="19" t="n">
        <v>3</v>
      </c>
      <c r="F16" s="19" t="n">
        <v>7</v>
      </c>
      <c r="G16" s="19" t="n">
        <v>5</v>
      </c>
      <c r="H16" s="19" t="n">
        <v>4</v>
      </c>
      <c r="I16" s="19" t="n">
        <v>1</v>
      </c>
      <c r="J16" s="19" t="n">
        <v>6</v>
      </c>
      <c r="K16" s="19" t="s">
        <v>82</v>
      </c>
      <c r="L16" s="19" t="s">
        <v>20</v>
      </c>
      <c r="M16" s="19" t="s">
        <v>83</v>
      </c>
      <c r="N16" s="19" t="s">
        <v>84</v>
      </c>
      <c r="O16" s="19" t="s">
        <v>85</v>
      </c>
      <c r="P16" s="19" t="s">
        <v>86</v>
      </c>
      <c r="Q16" s="19" t="s">
        <v>87</v>
      </c>
      <c r="R16" s="19" t="s">
        <v>120</v>
      </c>
      <c r="S16" s="19" t="s">
        <v>97</v>
      </c>
      <c r="T16" s="19" t="s">
        <v>98</v>
      </c>
      <c r="U16" s="19" t="s">
        <v>89</v>
      </c>
      <c r="V16" s="19" t="s">
        <v>106</v>
      </c>
      <c r="W16" s="19" t="s">
        <v>114</v>
      </c>
      <c r="X16" s="19" t="s">
        <v>100</v>
      </c>
    </row>
    <row r="17" customFormat="false" ht="15.75" hidden="false" customHeight="true" outlineLevel="0" collapsed="false">
      <c r="A17" s="18" t="s">
        <v>101</v>
      </c>
      <c r="B17" s="18" t="n">
        <v>27</v>
      </c>
      <c r="C17" s="18" t="s">
        <v>82</v>
      </c>
      <c r="D17" s="18" t="n">
        <v>2</v>
      </c>
      <c r="E17" s="18" t="n">
        <v>3</v>
      </c>
      <c r="F17" s="18" t="n">
        <v>7</v>
      </c>
      <c r="G17" s="18" t="n">
        <v>5</v>
      </c>
      <c r="H17" s="18" t="n">
        <v>4</v>
      </c>
      <c r="I17" s="18" t="n">
        <v>1</v>
      </c>
      <c r="J17" s="18" t="n">
        <v>6</v>
      </c>
      <c r="K17" s="18" t="s">
        <v>82</v>
      </c>
      <c r="L17" s="18" t="s">
        <v>20</v>
      </c>
      <c r="M17" s="18" t="s">
        <v>83</v>
      </c>
      <c r="N17" s="18" t="s">
        <v>84</v>
      </c>
      <c r="O17" s="18" t="s">
        <v>85</v>
      </c>
      <c r="P17" s="18" t="s">
        <v>86</v>
      </c>
      <c r="Q17" s="18" t="s">
        <v>87</v>
      </c>
      <c r="R17" s="18" t="s">
        <v>7</v>
      </c>
      <c r="S17" s="18" t="s">
        <v>97</v>
      </c>
      <c r="T17" s="18" t="s">
        <v>83</v>
      </c>
      <c r="U17" s="18" t="s">
        <v>111</v>
      </c>
      <c r="V17" s="18" t="s">
        <v>106</v>
      </c>
      <c r="W17" s="18" t="s">
        <v>114</v>
      </c>
      <c r="X17" s="18" t="s">
        <v>92</v>
      </c>
    </row>
    <row r="18" customFormat="false" ht="15.75" hidden="false" customHeight="true" outlineLevel="0" collapsed="false">
      <c r="A18" s="19" t="s">
        <v>81</v>
      </c>
      <c r="B18" s="19" t="n">
        <v>28</v>
      </c>
      <c r="C18" s="19" t="s">
        <v>82</v>
      </c>
      <c r="D18" s="19" t="n">
        <v>3</v>
      </c>
      <c r="E18" s="19" t="n">
        <v>2</v>
      </c>
      <c r="F18" s="19" t="n">
        <v>7</v>
      </c>
      <c r="G18" s="19" t="n">
        <v>5</v>
      </c>
      <c r="H18" s="19" t="n">
        <v>4</v>
      </c>
      <c r="I18" s="19" t="n">
        <v>1</v>
      </c>
      <c r="J18" s="19" t="n">
        <v>6</v>
      </c>
      <c r="K18" s="19" t="s">
        <v>82</v>
      </c>
      <c r="L18" s="19" t="s">
        <v>115</v>
      </c>
      <c r="M18" s="19" t="s">
        <v>118</v>
      </c>
      <c r="N18" s="19" t="s">
        <v>84</v>
      </c>
      <c r="O18" s="19" t="s">
        <v>85</v>
      </c>
      <c r="P18" s="19" t="s">
        <v>86</v>
      </c>
      <c r="Q18" s="19" t="s">
        <v>87</v>
      </c>
      <c r="R18" s="19" t="s">
        <v>120</v>
      </c>
      <c r="S18" s="19" t="s">
        <v>97</v>
      </c>
      <c r="T18" s="19" t="s">
        <v>83</v>
      </c>
      <c r="U18" s="19" t="s">
        <v>111</v>
      </c>
      <c r="V18" s="19" t="s">
        <v>106</v>
      </c>
      <c r="W18" s="19" t="s">
        <v>114</v>
      </c>
      <c r="X18" s="19" t="s">
        <v>107</v>
      </c>
    </row>
    <row r="19" customFormat="false" ht="15.75" hidden="false" customHeight="true" outlineLevel="0" collapsed="false">
      <c r="A19" s="18" t="s">
        <v>101</v>
      </c>
      <c r="B19" s="18" t="n">
        <v>27</v>
      </c>
      <c r="C19" s="18" t="s">
        <v>82</v>
      </c>
      <c r="D19" s="18" t="n">
        <v>3</v>
      </c>
      <c r="E19" s="18" t="n">
        <v>2</v>
      </c>
      <c r="F19" s="18" t="n">
        <v>7</v>
      </c>
      <c r="G19" s="18" t="n">
        <v>4</v>
      </c>
      <c r="H19" s="18" t="n">
        <v>5</v>
      </c>
      <c r="I19" s="18" t="n">
        <v>1</v>
      </c>
      <c r="J19" s="18" t="n">
        <v>6</v>
      </c>
      <c r="K19" s="18" t="s">
        <v>82</v>
      </c>
      <c r="L19" s="18" t="s">
        <v>20</v>
      </c>
      <c r="M19" s="18" t="s">
        <v>83</v>
      </c>
      <c r="N19" s="18" t="s">
        <v>84</v>
      </c>
      <c r="O19" s="18" t="s">
        <v>85</v>
      </c>
      <c r="P19" s="18" t="s">
        <v>86</v>
      </c>
      <c r="Q19" s="18" t="s">
        <v>87</v>
      </c>
      <c r="R19" s="18" t="s">
        <v>7</v>
      </c>
      <c r="S19" s="18" t="s">
        <v>88</v>
      </c>
      <c r="T19" s="18" t="s">
        <v>83</v>
      </c>
      <c r="U19" s="18" t="s">
        <v>89</v>
      </c>
      <c r="V19" s="18" t="s">
        <v>106</v>
      </c>
      <c r="W19" s="18" t="s">
        <v>114</v>
      </c>
      <c r="X19" s="18" t="s">
        <v>100</v>
      </c>
    </row>
    <row r="20" customFormat="false" ht="15.75" hidden="false" customHeight="true" outlineLevel="0" collapsed="false">
      <c r="A20" s="19" t="s">
        <v>101</v>
      </c>
      <c r="B20" s="19" t="n">
        <v>29</v>
      </c>
      <c r="C20" s="19" t="s">
        <v>82</v>
      </c>
      <c r="D20" s="19" t="n">
        <v>3</v>
      </c>
      <c r="E20" s="19" t="n">
        <v>2</v>
      </c>
      <c r="F20" s="19" t="n">
        <v>7</v>
      </c>
      <c r="G20" s="19" t="n">
        <v>4</v>
      </c>
      <c r="H20" s="19" t="n">
        <v>5</v>
      </c>
      <c r="I20" s="19" t="n">
        <v>1</v>
      </c>
      <c r="J20" s="19" t="n">
        <v>6</v>
      </c>
      <c r="K20" s="19" t="s">
        <v>82</v>
      </c>
      <c r="L20" s="19" t="s">
        <v>115</v>
      </c>
      <c r="M20" s="19" t="s">
        <v>83</v>
      </c>
      <c r="N20" s="19" t="s">
        <v>84</v>
      </c>
      <c r="O20" s="19" t="s">
        <v>85</v>
      </c>
      <c r="P20" s="19" t="s">
        <v>86</v>
      </c>
      <c r="Q20" s="19" t="s">
        <v>87</v>
      </c>
      <c r="R20" s="19" t="s">
        <v>7</v>
      </c>
      <c r="S20" s="19" t="s">
        <v>88</v>
      </c>
      <c r="T20" s="19" t="s">
        <v>83</v>
      </c>
      <c r="U20" s="19" t="s">
        <v>89</v>
      </c>
      <c r="V20" s="19" t="s">
        <v>106</v>
      </c>
      <c r="W20" s="19" t="s">
        <v>114</v>
      </c>
      <c r="X20" s="19" t="s">
        <v>92</v>
      </c>
    </row>
    <row r="21" customFormat="false" ht="15.75" hidden="false" customHeight="true" outlineLevel="0" collapsed="false">
      <c r="A21" s="18" t="s">
        <v>101</v>
      </c>
      <c r="B21" s="18" t="n">
        <v>26</v>
      </c>
      <c r="C21" s="18" t="s">
        <v>82</v>
      </c>
      <c r="D21" s="18" t="n">
        <v>3</v>
      </c>
      <c r="E21" s="18" t="n">
        <v>4</v>
      </c>
      <c r="F21" s="18" t="n">
        <v>6</v>
      </c>
      <c r="G21" s="18" t="n">
        <v>5</v>
      </c>
      <c r="H21" s="18" t="n">
        <v>1</v>
      </c>
      <c r="I21" s="18" t="n">
        <v>2</v>
      </c>
      <c r="J21" s="18" t="n">
        <v>7</v>
      </c>
      <c r="K21" s="18" t="s">
        <v>82</v>
      </c>
      <c r="L21" s="18" t="s">
        <v>115</v>
      </c>
      <c r="M21" s="18" t="s">
        <v>83</v>
      </c>
      <c r="N21" s="18" t="s">
        <v>84</v>
      </c>
      <c r="O21" s="18" t="s">
        <v>102</v>
      </c>
      <c r="P21" s="18" t="s">
        <v>86</v>
      </c>
      <c r="Q21" s="18" t="s">
        <v>87</v>
      </c>
      <c r="R21" s="18" t="s">
        <v>120</v>
      </c>
      <c r="S21" s="18" t="s">
        <v>97</v>
      </c>
      <c r="T21" s="18" t="s">
        <v>83</v>
      </c>
      <c r="U21" s="18" t="s">
        <v>111</v>
      </c>
      <c r="V21" s="18" t="s">
        <v>106</v>
      </c>
      <c r="W21" s="18" t="s">
        <v>114</v>
      </c>
      <c r="X21" s="18" t="s">
        <v>92</v>
      </c>
    </row>
    <row r="22" customFormat="false" ht="15.75" hidden="false" customHeight="true" outlineLevel="0" collapsed="false">
      <c r="A22" s="19" t="s">
        <v>101</v>
      </c>
      <c r="B22" s="19" t="n">
        <v>29</v>
      </c>
      <c r="C22" s="19" t="s">
        <v>82</v>
      </c>
      <c r="D22" s="19" t="n">
        <v>2</v>
      </c>
      <c r="E22" s="19" t="n">
        <v>4</v>
      </c>
      <c r="F22" s="19" t="n">
        <v>7</v>
      </c>
      <c r="G22" s="19" t="n">
        <v>5</v>
      </c>
      <c r="H22" s="19" t="n">
        <v>3</v>
      </c>
      <c r="I22" s="19" t="n">
        <v>1</v>
      </c>
      <c r="J22" s="19" t="n">
        <v>6</v>
      </c>
      <c r="K22" s="19" t="s">
        <v>82</v>
      </c>
      <c r="L22" s="19" t="s">
        <v>20</v>
      </c>
      <c r="M22" s="19" t="s">
        <v>118</v>
      </c>
      <c r="N22" s="19" t="s">
        <v>84</v>
      </c>
      <c r="O22" s="19" t="s">
        <v>102</v>
      </c>
      <c r="P22" s="19" t="s">
        <v>96</v>
      </c>
      <c r="Q22" s="19" t="s">
        <v>87</v>
      </c>
      <c r="R22" s="19" t="s">
        <v>7</v>
      </c>
      <c r="S22" s="19" t="s">
        <v>88</v>
      </c>
      <c r="T22" s="19" t="s">
        <v>83</v>
      </c>
      <c r="U22" s="19" t="s">
        <v>89</v>
      </c>
      <c r="V22" s="19" t="s">
        <v>106</v>
      </c>
      <c r="W22" s="19" t="s">
        <v>91</v>
      </c>
      <c r="X22" s="19" t="s">
        <v>100</v>
      </c>
    </row>
    <row r="23" customFormat="false" ht="15.75" hidden="false" customHeight="true" outlineLevel="0" collapsed="false">
      <c r="A23" s="18" t="s">
        <v>81</v>
      </c>
      <c r="B23" s="18" t="n">
        <v>24</v>
      </c>
      <c r="C23" s="18" t="s">
        <v>82</v>
      </c>
      <c r="D23" s="18" t="n">
        <v>2</v>
      </c>
      <c r="E23" s="18" t="n">
        <v>4</v>
      </c>
      <c r="F23" s="18" t="n">
        <v>5</v>
      </c>
      <c r="G23" s="18" t="n">
        <v>6</v>
      </c>
      <c r="H23" s="18" t="n">
        <v>3</v>
      </c>
      <c r="I23" s="18" t="n">
        <v>1</v>
      </c>
      <c r="J23" s="18" t="n">
        <v>7</v>
      </c>
      <c r="K23" s="18" t="s">
        <v>82</v>
      </c>
      <c r="L23" s="18" t="s">
        <v>115</v>
      </c>
      <c r="M23" s="18" t="s">
        <v>83</v>
      </c>
      <c r="N23" s="18" t="s">
        <v>84</v>
      </c>
      <c r="O23" s="18" t="s">
        <v>102</v>
      </c>
      <c r="P23" s="18" t="s">
        <v>86</v>
      </c>
      <c r="Q23" s="18" t="s">
        <v>87</v>
      </c>
      <c r="R23" s="18" t="s">
        <v>104</v>
      </c>
      <c r="S23" s="18" t="s">
        <v>97</v>
      </c>
      <c r="T23" s="18" t="s">
        <v>83</v>
      </c>
      <c r="U23" s="18" t="s">
        <v>89</v>
      </c>
      <c r="V23" s="18" t="s">
        <v>106</v>
      </c>
      <c r="W23" s="18" t="s">
        <v>114</v>
      </c>
      <c r="X23" s="18" t="s">
        <v>92</v>
      </c>
    </row>
    <row r="24" customFormat="false" ht="15.75" hidden="false" customHeight="true" outlineLevel="0" collapsed="false">
      <c r="A24" s="19" t="s">
        <v>101</v>
      </c>
      <c r="B24" s="19" t="n">
        <v>27</v>
      </c>
      <c r="C24" s="19" t="s">
        <v>82</v>
      </c>
      <c r="D24" s="19" t="n">
        <v>3</v>
      </c>
      <c r="E24" s="19" t="n">
        <v>4</v>
      </c>
      <c r="F24" s="19" t="n">
        <v>6</v>
      </c>
      <c r="G24" s="19" t="n">
        <v>5</v>
      </c>
      <c r="H24" s="19" t="n">
        <v>2</v>
      </c>
      <c r="I24" s="19" t="n">
        <v>1</v>
      </c>
      <c r="J24" s="19" t="n">
        <v>7</v>
      </c>
      <c r="K24" s="19" t="s">
        <v>82</v>
      </c>
      <c r="L24" s="19" t="s">
        <v>20</v>
      </c>
      <c r="M24" s="19" t="s">
        <v>83</v>
      </c>
      <c r="N24" s="19" t="s">
        <v>84</v>
      </c>
      <c r="O24" s="19" t="s">
        <v>102</v>
      </c>
      <c r="P24" s="19" t="s">
        <v>86</v>
      </c>
      <c r="Q24" s="19" t="s">
        <v>87</v>
      </c>
      <c r="R24" s="19" t="s">
        <v>7</v>
      </c>
      <c r="S24" s="19" t="s">
        <v>88</v>
      </c>
      <c r="T24" s="19" t="s">
        <v>83</v>
      </c>
      <c r="U24" s="19" t="s">
        <v>89</v>
      </c>
      <c r="V24" s="19" t="s">
        <v>106</v>
      </c>
      <c r="W24" s="19" t="s">
        <v>114</v>
      </c>
      <c r="X24" s="19" t="s">
        <v>100</v>
      </c>
    </row>
    <row r="25" customFormat="false" ht="15.75" hidden="false" customHeight="true" outlineLevel="0" collapsed="false">
      <c r="A25" s="18" t="s">
        <v>101</v>
      </c>
      <c r="B25" s="18" t="n">
        <v>25</v>
      </c>
      <c r="C25" s="18" t="s">
        <v>82</v>
      </c>
      <c r="D25" s="18" t="n">
        <v>2</v>
      </c>
      <c r="E25" s="18" t="n">
        <v>4</v>
      </c>
      <c r="F25" s="18" t="n">
        <v>6</v>
      </c>
      <c r="G25" s="18" t="n">
        <v>5</v>
      </c>
      <c r="H25" s="18" t="n">
        <v>3</v>
      </c>
      <c r="I25" s="18" t="n">
        <v>1</v>
      </c>
      <c r="J25" s="18" t="n">
        <v>7</v>
      </c>
      <c r="K25" s="18" t="s">
        <v>82</v>
      </c>
      <c r="L25" s="18" t="s">
        <v>115</v>
      </c>
      <c r="M25" s="18" t="s">
        <v>118</v>
      </c>
      <c r="N25" s="18" t="s">
        <v>119</v>
      </c>
      <c r="O25" s="18" t="s">
        <v>102</v>
      </c>
      <c r="P25" s="18" t="s">
        <v>96</v>
      </c>
      <c r="Q25" s="18" t="s">
        <v>87</v>
      </c>
      <c r="R25" s="18" t="s">
        <v>122</v>
      </c>
      <c r="S25" s="18" t="s">
        <v>97</v>
      </c>
      <c r="T25" s="18" t="s">
        <v>117</v>
      </c>
      <c r="U25" s="18" t="s">
        <v>89</v>
      </c>
      <c r="V25" s="18" t="s">
        <v>106</v>
      </c>
      <c r="W25" s="18" t="s">
        <v>114</v>
      </c>
      <c r="X25" s="18" t="s">
        <v>100</v>
      </c>
    </row>
    <row r="26" customFormat="false" ht="15.75" hidden="false" customHeight="true" outlineLevel="0" collapsed="false">
      <c r="A26" s="19" t="s">
        <v>81</v>
      </c>
      <c r="B26" s="19" t="n">
        <v>26</v>
      </c>
      <c r="C26" s="19" t="s">
        <v>82</v>
      </c>
      <c r="D26" s="19" t="n">
        <v>2</v>
      </c>
      <c r="E26" s="19" t="n">
        <v>3</v>
      </c>
      <c r="F26" s="19" t="n">
        <v>7</v>
      </c>
      <c r="G26" s="19" t="n">
        <v>5</v>
      </c>
      <c r="H26" s="19" t="n">
        <v>4</v>
      </c>
      <c r="I26" s="19" t="n">
        <v>1</v>
      </c>
      <c r="J26" s="19" t="n">
        <v>6</v>
      </c>
      <c r="K26" s="19" t="s">
        <v>82</v>
      </c>
      <c r="L26" s="19" t="s">
        <v>20</v>
      </c>
      <c r="M26" s="19" t="s">
        <v>83</v>
      </c>
      <c r="N26" s="19" t="s">
        <v>84</v>
      </c>
      <c r="O26" s="19" t="s">
        <v>102</v>
      </c>
      <c r="P26" s="19" t="s">
        <v>86</v>
      </c>
      <c r="Q26" s="19" t="s">
        <v>116</v>
      </c>
      <c r="R26" s="19" t="s">
        <v>122</v>
      </c>
      <c r="S26" s="19" t="s">
        <v>88</v>
      </c>
      <c r="T26" s="19" t="s">
        <v>83</v>
      </c>
      <c r="U26" s="19" t="s">
        <v>89</v>
      </c>
      <c r="V26" s="19" t="s">
        <v>106</v>
      </c>
      <c r="W26" s="19" t="s">
        <v>114</v>
      </c>
      <c r="X26" s="19" t="s">
        <v>92</v>
      </c>
    </row>
    <row r="27" customFormat="false" ht="15.75" hidden="false" customHeight="true" outlineLevel="0" collapsed="false">
      <c r="A27" s="18" t="s">
        <v>81</v>
      </c>
      <c r="B27" s="18" t="n">
        <v>32</v>
      </c>
      <c r="C27" s="18" t="s">
        <v>82</v>
      </c>
      <c r="D27" s="18" t="n">
        <v>3</v>
      </c>
      <c r="E27" s="18" t="n">
        <v>4</v>
      </c>
      <c r="F27" s="18" t="n">
        <v>7</v>
      </c>
      <c r="G27" s="18" t="n">
        <v>5</v>
      </c>
      <c r="H27" s="18" t="n">
        <v>1</v>
      </c>
      <c r="I27" s="18" t="n">
        <v>2</v>
      </c>
      <c r="J27" s="18" t="n">
        <v>6</v>
      </c>
      <c r="K27" s="18" t="s">
        <v>82</v>
      </c>
      <c r="L27" s="18" t="s">
        <v>115</v>
      </c>
      <c r="M27" s="18" t="s">
        <v>118</v>
      </c>
      <c r="N27" s="18" t="s">
        <v>84</v>
      </c>
      <c r="O27" s="18" t="s">
        <v>102</v>
      </c>
      <c r="P27" s="18" t="s">
        <v>86</v>
      </c>
      <c r="Q27" s="18" t="s">
        <v>87</v>
      </c>
      <c r="R27" s="18" t="s">
        <v>7</v>
      </c>
      <c r="S27" s="18" t="s">
        <v>88</v>
      </c>
      <c r="T27" s="18" t="s">
        <v>83</v>
      </c>
      <c r="U27" s="18" t="s">
        <v>89</v>
      </c>
      <c r="V27" s="18" t="s">
        <v>106</v>
      </c>
      <c r="W27" s="18" t="s">
        <v>91</v>
      </c>
      <c r="X27" s="18" t="s">
        <v>100</v>
      </c>
    </row>
    <row r="28" customFormat="false" ht="15.75" hidden="false" customHeight="true" outlineLevel="0" collapsed="false">
      <c r="A28" s="19" t="s">
        <v>101</v>
      </c>
      <c r="B28" s="19" t="n">
        <v>26</v>
      </c>
      <c r="C28" s="19" t="s">
        <v>82</v>
      </c>
      <c r="D28" s="19" t="n">
        <v>3</v>
      </c>
      <c r="E28" s="19" t="n">
        <v>4</v>
      </c>
      <c r="F28" s="19" t="n">
        <v>6</v>
      </c>
      <c r="G28" s="19" t="n">
        <v>5</v>
      </c>
      <c r="H28" s="19" t="n">
        <v>1</v>
      </c>
      <c r="I28" s="19" t="n">
        <v>2</v>
      </c>
      <c r="J28" s="19" t="n">
        <v>7</v>
      </c>
      <c r="K28" s="19" t="s">
        <v>82</v>
      </c>
      <c r="L28" s="19" t="s">
        <v>20</v>
      </c>
      <c r="M28" s="19" t="s">
        <v>83</v>
      </c>
      <c r="N28" s="19" t="s">
        <v>84</v>
      </c>
      <c r="O28" s="19" t="s">
        <v>102</v>
      </c>
      <c r="P28" s="19" t="s">
        <v>86</v>
      </c>
      <c r="Q28" s="19" t="s">
        <v>87</v>
      </c>
      <c r="R28" s="19" t="s">
        <v>7</v>
      </c>
      <c r="S28" s="19" t="s">
        <v>88</v>
      </c>
      <c r="T28" s="19" t="s">
        <v>98</v>
      </c>
      <c r="U28" s="19" t="s">
        <v>111</v>
      </c>
      <c r="V28" s="19" t="s">
        <v>106</v>
      </c>
      <c r="W28" s="19" t="s">
        <v>91</v>
      </c>
      <c r="X28" s="19" t="s">
        <v>100</v>
      </c>
    </row>
    <row r="29" customFormat="false" ht="15.75" hidden="false" customHeight="true" outlineLevel="0" collapsed="false">
      <c r="A29" s="18" t="s">
        <v>101</v>
      </c>
      <c r="B29" s="18" t="n">
        <v>31</v>
      </c>
      <c r="C29" s="18" t="s">
        <v>82</v>
      </c>
      <c r="D29" s="18" t="n">
        <v>2</v>
      </c>
      <c r="E29" s="18" t="n">
        <v>3</v>
      </c>
      <c r="F29" s="18" t="n">
        <v>7</v>
      </c>
      <c r="G29" s="18" t="n">
        <v>6</v>
      </c>
      <c r="H29" s="18" t="n">
        <v>4</v>
      </c>
      <c r="I29" s="18" t="n">
        <v>1</v>
      </c>
      <c r="J29" s="18" t="n">
        <v>5</v>
      </c>
      <c r="K29" s="18" t="s">
        <v>82</v>
      </c>
      <c r="L29" s="18" t="s">
        <v>115</v>
      </c>
      <c r="M29" s="18" t="s">
        <v>118</v>
      </c>
      <c r="N29" s="18" t="s">
        <v>119</v>
      </c>
      <c r="O29" s="18" t="s">
        <v>85</v>
      </c>
      <c r="P29" s="18" t="s">
        <v>86</v>
      </c>
      <c r="Q29" s="18" t="s">
        <v>87</v>
      </c>
      <c r="R29" s="18" t="s">
        <v>120</v>
      </c>
      <c r="S29" s="18" t="s">
        <v>97</v>
      </c>
      <c r="T29" s="18" t="s">
        <v>83</v>
      </c>
      <c r="U29" s="18" t="s">
        <v>111</v>
      </c>
      <c r="V29" s="18" t="s">
        <v>90</v>
      </c>
      <c r="W29" s="18" t="s">
        <v>91</v>
      </c>
      <c r="X29" s="18" t="s">
        <v>107</v>
      </c>
    </row>
    <row r="30" customFormat="false" ht="15.75" hidden="false" customHeight="true" outlineLevel="0" collapsed="false">
      <c r="A30" s="19" t="s">
        <v>101</v>
      </c>
      <c r="B30" s="19" t="n">
        <v>29</v>
      </c>
      <c r="C30" s="19" t="s">
        <v>82</v>
      </c>
      <c r="D30" s="19" t="n">
        <v>2</v>
      </c>
      <c r="E30" s="19" t="n">
        <v>3</v>
      </c>
      <c r="F30" s="19" t="n">
        <v>6</v>
      </c>
      <c r="G30" s="19" t="n">
        <v>5</v>
      </c>
      <c r="H30" s="19" t="n">
        <v>1</v>
      </c>
      <c r="I30" s="19" t="n">
        <v>4</v>
      </c>
      <c r="J30" s="19" t="n">
        <v>7</v>
      </c>
      <c r="K30" s="19" t="s">
        <v>82</v>
      </c>
      <c r="L30" s="19" t="s">
        <v>20</v>
      </c>
      <c r="M30" s="19" t="s">
        <v>83</v>
      </c>
      <c r="N30" s="19" t="s">
        <v>84</v>
      </c>
      <c r="O30" s="19" t="s">
        <v>85</v>
      </c>
      <c r="P30" s="19" t="s">
        <v>86</v>
      </c>
      <c r="Q30" s="19" t="s">
        <v>87</v>
      </c>
      <c r="R30" s="19" t="s">
        <v>104</v>
      </c>
      <c r="S30" s="19" t="s">
        <v>88</v>
      </c>
      <c r="T30" s="19" t="s">
        <v>83</v>
      </c>
      <c r="U30" s="19" t="s">
        <v>89</v>
      </c>
      <c r="V30" s="19" t="s">
        <v>106</v>
      </c>
      <c r="W30" s="19" t="s">
        <v>114</v>
      </c>
      <c r="X30" s="19" t="s">
        <v>107</v>
      </c>
    </row>
    <row r="31" customFormat="false" ht="15.75" hidden="false" customHeight="true" outlineLevel="0" collapsed="false">
      <c r="A31" s="18" t="s">
        <v>81</v>
      </c>
      <c r="B31" s="18" t="n">
        <v>34</v>
      </c>
      <c r="C31" s="18" t="s">
        <v>82</v>
      </c>
      <c r="D31" s="18" t="n">
        <v>5</v>
      </c>
      <c r="E31" s="18" t="n">
        <v>4</v>
      </c>
      <c r="F31" s="18" t="n">
        <v>3</v>
      </c>
      <c r="G31" s="18" t="n">
        <v>2</v>
      </c>
      <c r="H31" s="18" t="n">
        <v>7</v>
      </c>
      <c r="I31" s="18" t="n">
        <v>1</v>
      </c>
      <c r="J31" s="18" t="n">
        <v>6</v>
      </c>
      <c r="K31" s="18" t="s">
        <v>82</v>
      </c>
      <c r="L31" s="18" t="s">
        <v>20</v>
      </c>
      <c r="M31" s="18" t="s">
        <v>108</v>
      </c>
      <c r="N31" s="18" t="s">
        <v>20</v>
      </c>
      <c r="O31" s="18" t="s">
        <v>102</v>
      </c>
      <c r="P31" s="18" t="s">
        <v>86</v>
      </c>
      <c r="Q31" s="18" t="s">
        <v>110</v>
      </c>
      <c r="R31" s="18" t="s">
        <v>7</v>
      </c>
      <c r="S31" s="18" t="s">
        <v>88</v>
      </c>
      <c r="T31" s="18" t="s">
        <v>83</v>
      </c>
      <c r="U31" s="18" t="s">
        <v>105</v>
      </c>
      <c r="V31" s="18" t="s">
        <v>90</v>
      </c>
      <c r="W31" s="18" t="s">
        <v>91</v>
      </c>
      <c r="X31" s="18" t="s">
        <v>92</v>
      </c>
    </row>
    <row r="32" customFormat="false" ht="15.75" hidden="false" customHeight="true" outlineLevel="0" collapsed="false">
      <c r="A32" s="19" t="s">
        <v>101</v>
      </c>
      <c r="B32" s="19" t="n">
        <v>27</v>
      </c>
      <c r="C32" s="19" t="s">
        <v>82</v>
      </c>
      <c r="D32" s="19" t="n">
        <v>4</v>
      </c>
      <c r="E32" s="19" t="n">
        <v>5</v>
      </c>
      <c r="F32" s="19" t="n">
        <v>1</v>
      </c>
      <c r="G32" s="19" t="n">
        <v>2</v>
      </c>
      <c r="H32" s="19" t="n">
        <v>7</v>
      </c>
      <c r="I32" s="19" t="n">
        <v>3</v>
      </c>
      <c r="J32" s="19" t="n">
        <v>6</v>
      </c>
      <c r="K32" s="19" t="s">
        <v>93</v>
      </c>
      <c r="L32" s="19" t="s">
        <v>20</v>
      </c>
      <c r="M32" s="19" t="s">
        <v>118</v>
      </c>
      <c r="N32" s="19" t="s">
        <v>84</v>
      </c>
      <c r="O32" s="19" t="s">
        <v>85</v>
      </c>
      <c r="P32" s="19" t="s">
        <v>86</v>
      </c>
      <c r="Q32" s="19" t="s">
        <v>110</v>
      </c>
      <c r="R32" s="19" t="s">
        <v>7</v>
      </c>
      <c r="S32" s="19" t="s">
        <v>121</v>
      </c>
      <c r="T32" s="19" t="s">
        <v>83</v>
      </c>
      <c r="U32" s="19" t="s">
        <v>105</v>
      </c>
      <c r="V32" s="19" t="s">
        <v>90</v>
      </c>
      <c r="W32" s="19" t="s">
        <v>91</v>
      </c>
      <c r="X32" s="19" t="s">
        <v>107</v>
      </c>
    </row>
    <row r="33" customFormat="false" ht="15.75" hidden="false" customHeight="true" outlineLevel="0" collapsed="false">
      <c r="A33" s="18" t="s">
        <v>81</v>
      </c>
      <c r="B33" s="18" t="n">
        <v>31</v>
      </c>
      <c r="C33" s="18" t="s">
        <v>82</v>
      </c>
      <c r="D33" s="18" t="n">
        <v>2</v>
      </c>
      <c r="E33" s="18" t="n">
        <v>4</v>
      </c>
      <c r="F33" s="18" t="n">
        <v>7</v>
      </c>
      <c r="G33" s="18" t="n">
        <v>6</v>
      </c>
      <c r="H33" s="18" t="n">
        <v>3</v>
      </c>
      <c r="I33" s="18" t="n">
        <v>1</v>
      </c>
      <c r="J33" s="18" t="n">
        <v>5</v>
      </c>
      <c r="K33" s="18" t="s">
        <v>82</v>
      </c>
      <c r="L33" s="18" t="s">
        <v>20</v>
      </c>
      <c r="M33" s="18" t="s">
        <v>83</v>
      </c>
      <c r="N33" s="18" t="s">
        <v>84</v>
      </c>
      <c r="O33" s="18" t="s">
        <v>102</v>
      </c>
      <c r="P33" s="18" t="s">
        <v>86</v>
      </c>
      <c r="Q33" s="18" t="s">
        <v>87</v>
      </c>
      <c r="R33" s="18" t="s">
        <v>120</v>
      </c>
      <c r="S33" s="18" t="s">
        <v>88</v>
      </c>
      <c r="T33" s="18" t="s">
        <v>83</v>
      </c>
      <c r="U33" s="18" t="s">
        <v>89</v>
      </c>
      <c r="V33" s="18" t="s">
        <v>106</v>
      </c>
      <c r="W33" s="18" t="s">
        <v>91</v>
      </c>
      <c r="X33" s="18" t="s">
        <v>100</v>
      </c>
    </row>
    <row r="34" customFormat="false" ht="15.75" hidden="false" customHeight="true" outlineLevel="0" collapsed="false">
      <c r="A34" s="19" t="s">
        <v>101</v>
      </c>
      <c r="B34" s="19" t="n">
        <v>27</v>
      </c>
      <c r="C34" s="19" t="s">
        <v>82</v>
      </c>
      <c r="D34" s="19" t="n">
        <v>2</v>
      </c>
      <c r="E34" s="19" t="n">
        <v>4</v>
      </c>
      <c r="F34" s="19" t="n">
        <v>7</v>
      </c>
      <c r="G34" s="19" t="n">
        <v>5</v>
      </c>
      <c r="H34" s="19" t="n">
        <v>1</v>
      </c>
      <c r="I34" s="19" t="n">
        <v>3</v>
      </c>
      <c r="J34" s="19" t="n">
        <v>6</v>
      </c>
      <c r="K34" s="19" t="s">
        <v>82</v>
      </c>
      <c r="L34" s="19" t="s">
        <v>20</v>
      </c>
      <c r="M34" s="19" t="s">
        <v>83</v>
      </c>
      <c r="N34" s="19" t="s">
        <v>84</v>
      </c>
      <c r="O34" s="19" t="s">
        <v>102</v>
      </c>
      <c r="P34" s="19" t="s">
        <v>86</v>
      </c>
      <c r="Q34" s="19" t="s">
        <v>116</v>
      </c>
      <c r="R34" s="19" t="s">
        <v>104</v>
      </c>
      <c r="S34" s="19" t="s">
        <v>97</v>
      </c>
      <c r="T34" s="19" t="s">
        <v>83</v>
      </c>
      <c r="U34" s="19" t="s">
        <v>111</v>
      </c>
      <c r="V34" s="19" t="s">
        <v>106</v>
      </c>
      <c r="W34" s="19" t="s">
        <v>91</v>
      </c>
      <c r="X34" s="19" t="s">
        <v>92</v>
      </c>
    </row>
    <row r="35" customFormat="false" ht="15.75" hidden="false" customHeight="true" outlineLevel="0" collapsed="false">
      <c r="A35" s="18" t="s">
        <v>101</v>
      </c>
      <c r="B35" s="18" t="n">
        <v>26</v>
      </c>
      <c r="C35" s="18" t="s">
        <v>82</v>
      </c>
      <c r="D35" s="18" t="n">
        <v>2</v>
      </c>
      <c r="E35" s="18" t="n">
        <v>3</v>
      </c>
      <c r="F35" s="18" t="n">
        <v>6</v>
      </c>
      <c r="G35" s="18" t="n">
        <v>4</v>
      </c>
      <c r="H35" s="18" t="n">
        <v>1</v>
      </c>
      <c r="I35" s="18" t="n">
        <v>5</v>
      </c>
      <c r="J35" s="18" t="n">
        <v>7</v>
      </c>
      <c r="K35" s="18" t="s">
        <v>82</v>
      </c>
      <c r="L35" s="18" t="s">
        <v>20</v>
      </c>
      <c r="M35" s="18" t="s">
        <v>83</v>
      </c>
      <c r="N35" s="18" t="s">
        <v>20</v>
      </c>
      <c r="O35" s="18" t="s">
        <v>85</v>
      </c>
      <c r="P35" s="18" t="s">
        <v>86</v>
      </c>
      <c r="Q35" s="18" t="s">
        <v>87</v>
      </c>
      <c r="R35" s="18" t="s">
        <v>120</v>
      </c>
      <c r="S35" s="18" t="s">
        <v>121</v>
      </c>
      <c r="T35" s="18" t="s">
        <v>98</v>
      </c>
      <c r="U35" s="18" t="s">
        <v>89</v>
      </c>
      <c r="V35" s="18" t="s">
        <v>90</v>
      </c>
      <c r="W35" s="18" t="s">
        <v>114</v>
      </c>
      <c r="X35" s="18" t="s">
        <v>92</v>
      </c>
    </row>
    <row r="36" customFormat="false" ht="15.75" hidden="false" customHeight="true" outlineLevel="0" collapsed="false">
      <c r="A36" s="19" t="s">
        <v>101</v>
      </c>
      <c r="B36" s="19" t="n">
        <v>27</v>
      </c>
      <c r="C36" s="19" t="s">
        <v>82</v>
      </c>
      <c r="D36" s="19" t="n">
        <v>2</v>
      </c>
      <c r="E36" s="19" t="n">
        <v>3</v>
      </c>
      <c r="F36" s="19" t="n">
        <v>6</v>
      </c>
      <c r="G36" s="19" t="n">
        <v>5</v>
      </c>
      <c r="H36" s="19" t="n">
        <v>4</v>
      </c>
      <c r="I36" s="19" t="n">
        <v>1</v>
      </c>
      <c r="J36" s="19" t="n">
        <v>7</v>
      </c>
      <c r="K36" s="19" t="s">
        <v>82</v>
      </c>
      <c r="L36" s="19" t="s">
        <v>20</v>
      </c>
      <c r="M36" s="19" t="s">
        <v>83</v>
      </c>
      <c r="N36" s="19" t="s">
        <v>84</v>
      </c>
      <c r="O36" s="19" t="s">
        <v>85</v>
      </c>
      <c r="P36" s="19" t="s">
        <v>96</v>
      </c>
      <c r="Q36" s="19" t="s">
        <v>87</v>
      </c>
      <c r="R36" s="19" t="s">
        <v>7</v>
      </c>
      <c r="S36" s="19" t="s">
        <v>97</v>
      </c>
      <c r="T36" s="19" t="s">
        <v>83</v>
      </c>
      <c r="U36" s="19" t="s">
        <v>89</v>
      </c>
      <c r="V36" s="19" t="s">
        <v>90</v>
      </c>
      <c r="W36" s="19" t="s">
        <v>91</v>
      </c>
      <c r="X36" s="19" t="s">
        <v>100</v>
      </c>
    </row>
    <row r="37" customFormat="false" ht="15.75" hidden="false" customHeight="true" outlineLevel="0" collapsed="false">
      <c r="A37" s="18" t="s">
        <v>101</v>
      </c>
      <c r="B37" s="18" t="n">
        <v>30</v>
      </c>
      <c r="C37" s="18" t="s">
        <v>82</v>
      </c>
      <c r="D37" s="18" t="n">
        <v>1</v>
      </c>
      <c r="E37" s="18" t="n">
        <v>4</v>
      </c>
      <c r="F37" s="18" t="n">
        <v>6</v>
      </c>
      <c r="G37" s="18" t="n">
        <v>5</v>
      </c>
      <c r="H37" s="18" t="n">
        <v>3</v>
      </c>
      <c r="I37" s="18" t="n">
        <v>2</v>
      </c>
      <c r="J37" s="18" t="n">
        <v>7</v>
      </c>
      <c r="K37" s="18" t="s">
        <v>82</v>
      </c>
      <c r="L37" s="18" t="s">
        <v>115</v>
      </c>
      <c r="M37" s="18" t="s">
        <v>118</v>
      </c>
      <c r="N37" s="18" t="s">
        <v>84</v>
      </c>
      <c r="O37" s="18" t="s">
        <v>102</v>
      </c>
      <c r="P37" s="18" t="s">
        <v>86</v>
      </c>
      <c r="Q37" s="18" t="s">
        <v>87</v>
      </c>
      <c r="R37" s="18" t="s">
        <v>120</v>
      </c>
      <c r="S37" s="18" t="s">
        <v>97</v>
      </c>
      <c r="T37" s="18" t="s">
        <v>83</v>
      </c>
      <c r="U37" s="18" t="s">
        <v>89</v>
      </c>
      <c r="V37" s="18" t="s">
        <v>106</v>
      </c>
      <c r="W37" s="18" t="s">
        <v>91</v>
      </c>
      <c r="X37" s="18" t="s">
        <v>100</v>
      </c>
    </row>
    <row r="38" customFormat="false" ht="15.75" hidden="false" customHeight="true" outlineLevel="0" collapsed="false">
      <c r="A38" s="19" t="s">
        <v>101</v>
      </c>
      <c r="B38" s="19" t="n">
        <v>30</v>
      </c>
      <c r="C38" s="19" t="s">
        <v>82</v>
      </c>
      <c r="D38" s="19" t="n">
        <v>2</v>
      </c>
      <c r="E38" s="19" t="n">
        <v>4</v>
      </c>
      <c r="F38" s="19" t="n">
        <v>7</v>
      </c>
      <c r="G38" s="19" t="n">
        <v>5</v>
      </c>
      <c r="H38" s="19" t="n">
        <v>1</v>
      </c>
      <c r="I38" s="19" t="n">
        <v>3</v>
      </c>
      <c r="J38" s="19" t="n">
        <v>6</v>
      </c>
      <c r="K38" s="19" t="s">
        <v>82</v>
      </c>
      <c r="L38" s="19" t="s">
        <v>20</v>
      </c>
      <c r="M38" s="19" t="s">
        <v>83</v>
      </c>
      <c r="N38" s="19" t="s">
        <v>84</v>
      </c>
      <c r="O38" s="19" t="s">
        <v>85</v>
      </c>
      <c r="P38" s="19" t="s">
        <v>86</v>
      </c>
      <c r="Q38" s="19" t="s">
        <v>87</v>
      </c>
      <c r="R38" s="19" t="s">
        <v>104</v>
      </c>
      <c r="S38" s="19" t="s">
        <v>88</v>
      </c>
      <c r="T38" s="19" t="s">
        <v>83</v>
      </c>
      <c r="U38" s="19" t="s">
        <v>89</v>
      </c>
      <c r="V38" s="19" t="s">
        <v>106</v>
      </c>
      <c r="W38" s="19" t="s">
        <v>114</v>
      </c>
      <c r="X38" s="19" t="s">
        <v>92</v>
      </c>
    </row>
    <row r="39" customFormat="false" ht="15.75" hidden="false" customHeight="true" outlineLevel="0" collapsed="false">
      <c r="A39" s="18" t="s">
        <v>101</v>
      </c>
      <c r="B39" s="18" t="n">
        <v>25</v>
      </c>
      <c r="C39" s="18" t="s">
        <v>82</v>
      </c>
      <c r="D39" s="18" t="n">
        <v>5</v>
      </c>
      <c r="E39" s="18" t="n">
        <v>4</v>
      </c>
      <c r="F39" s="18" t="n">
        <v>7</v>
      </c>
      <c r="G39" s="18" t="n">
        <v>6</v>
      </c>
      <c r="H39" s="18" t="n">
        <v>1</v>
      </c>
      <c r="I39" s="18" t="n">
        <v>2</v>
      </c>
      <c r="J39" s="18" t="n">
        <v>3</v>
      </c>
      <c r="K39" s="18" t="s">
        <v>82</v>
      </c>
      <c r="L39" s="18" t="s">
        <v>115</v>
      </c>
      <c r="M39" s="18" t="s">
        <v>118</v>
      </c>
      <c r="N39" s="18" t="s">
        <v>119</v>
      </c>
      <c r="O39" s="18" t="s">
        <v>102</v>
      </c>
      <c r="P39" s="18" t="s">
        <v>86</v>
      </c>
      <c r="Q39" s="18" t="s">
        <v>116</v>
      </c>
      <c r="R39" s="18" t="s">
        <v>122</v>
      </c>
      <c r="S39" s="18" t="s">
        <v>97</v>
      </c>
      <c r="T39" s="18" t="s">
        <v>83</v>
      </c>
      <c r="U39" s="18" t="s">
        <v>89</v>
      </c>
      <c r="V39" s="18" t="s">
        <v>90</v>
      </c>
      <c r="W39" s="18" t="s">
        <v>91</v>
      </c>
      <c r="X39" s="18" t="s">
        <v>100</v>
      </c>
    </row>
    <row r="40" customFormat="false" ht="15.75" hidden="false" customHeight="true" outlineLevel="0" collapsed="false">
      <c r="A40" s="19" t="s">
        <v>101</v>
      </c>
      <c r="B40" s="19" t="n">
        <v>31</v>
      </c>
      <c r="C40" s="19" t="s">
        <v>82</v>
      </c>
      <c r="D40" s="19" t="n">
        <v>2</v>
      </c>
      <c r="E40" s="19" t="n">
        <v>4</v>
      </c>
      <c r="F40" s="19" t="n">
        <v>7</v>
      </c>
      <c r="G40" s="19" t="n">
        <v>5</v>
      </c>
      <c r="H40" s="19" t="n">
        <v>3</v>
      </c>
      <c r="I40" s="19" t="n">
        <v>1</v>
      </c>
      <c r="J40" s="19" t="n">
        <v>6</v>
      </c>
      <c r="K40" s="19" t="s">
        <v>82</v>
      </c>
      <c r="L40" s="19" t="s">
        <v>115</v>
      </c>
      <c r="M40" s="19" t="s">
        <v>118</v>
      </c>
      <c r="N40" s="19" t="s">
        <v>84</v>
      </c>
      <c r="O40" s="19" t="s">
        <v>85</v>
      </c>
      <c r="P40" s="19" t="s">
        <v>96</v>
      </c>
      <c r="Q40" s="19" t="s">
        <v>87</v>
      </c>
      <c r="R40" s="19" t="s">
        <v>104</v>
      </c>
      <c r="S40" s="19" t="s">
        <v>97</v>
      </c>
      <c r="T40" s="19" t="s">
        <v>98</v>
      </c>
      <c r="U40" s="19" t="s">
        <v>111</v>
      </c>
      <c r="V40" s="19" t="s">
        <v>106</v>
      </c>
      <c r="W40" s="19" t="s">
        <v>91</v>
      </c>
      <c r="X40" s="19" t="s">
        <v>92</v>
      </c>
    </row>
    <row r="41" customFormat="false" ht="15.75" hidden="false" customHeight="true" outlineLevel="0" collapsed="false">
      <c r="A41" s="18" t="s">
        <v>101</v>
      </c>
      <c r="B41" s="18" t="n">
        <v>29</v>
      </c>
      <c r="C41" s="18" t="s">
        <v>82</v>
      </c>
      <c r="D41" s="18" t="n">
        <v>4</v>
      </c>
      <c r="E41" s="18" t="n">
        <v>3</v>
      </c>
      <c r="F41" s="18" t="n">
        <v>5</v>
      </c>
      <c r="G41" s="18" t="n">
        <v>7</v>
      </c>
      <c r="H41" s="18" t="n">
        <v>2</v>
      </c>
      <c r="I41" s="18" t="n">
        <v>1</v>
      </c>
      <c r="J41" s="18" t="n">
        <v>6</v>
      </c>
      <c r="K41" s="18" t="s">
        <v>82</v>
      </c>
      <c r="L41" s="18" t="s">
        <v>20</v>
      </c>
      <c r="M41" s="18" t="s">
        <v>83</v>
      </c>
      <c r="N41" s="18" t="s">
        <v>84</v>
      </c>
      <c r="O41" s="18" t="s">
        <v>102</v>
      </c>
      <c r="P41" s="18" t="s">
        <v>86</v>
      </c>
      <c r="Q41" s="18" t="s">
        <v>87</v>
      </c>
      <c r="R41" s="18" t="s">
        <v>120</v>
      </c>
      <c r="S41" s="18" t="s">
        <v>88</v>
      </c>
      <c r="T41" s="18" t="s">
        <v>98</v>
      </c>
      <c r="U41" s="18" t="s">
        <v>89</v>
      </c>
      <c r="V41" s="18" t="s">
        <v>90</v>
      </c>
      <c r="W41" s="18" t="s">
        <v>91</v>
      </c>
      <c r="X41" s="18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4A017"/>
    <pageSetUpPr fitToPage="false"/>
  </sheetPr>
  <dimension ref="A1:C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4"/>
  </cols>
  <sheetData>
    <row r="1" customFormat="false" ht="21.75" hidden="false" customHeight="true" outlineLevel="0" collapsed="false">
      <c r="A1" s="16" t="s">
        <v>123</v>
      </c>
      <c r="B1" s="16"/>
      <c r="C1" s="16"/>
    </row>
    <row r="2" customFormat="false" ht="21.75" hidden="false" customHeight="true" outlineLevel="0" collapsed="false">
      <c r="A2" s="17" t="s">
        <v>124</v>
      </c>
      <c r="B2" s="17" t="s">
        <v>125</v>
      </c>
      <c r="C2" s="17" t="s">
        <v>126</v>
      </c>
    </row>
    <row r="3" customFormat="false" ht="16.5" hidden="false" customHeight="true" outlineLevel="0" collapsed="false">
      <c r="A3" s="18" t="s">
        <v>127</v>
      </c>
      <c r="B3" s="18" t="n">
        <v>25</v>
      </c>
      <c r="C3" s="18" t="s">
        <v>54</v>
      </c>
    </row>
    <row r="4" customFormat="false" ht="16.5" hidden="false" customHeight="true" outlineLevel="0" collapsed="false">
      <c r="A4" s="19" t="s">
        <v>128</v>
      </c>
      <c r="B4" s="19" t="n">
        <v>15</v>
      </c>
      <c r="C4" s="19" t="s">
        <v>129</v>
      </c>
    </row>
    <row r="5" customFormat="false" ht="16.5" hidden="false" customHeight="true" outlineLevel="0" collapsed="false">
      <c r="A5" s="18" t="s">
        <v>130</v>
      </c>
      <c r="B5" s="18" t="n">
        <f aca="false">B3+B4</f>
        <v>40</v>
      </c>
      <c r="C5" s="18" t="s">
        <v>31</v>
      </c>
    </row>
    <row r="9" customFormat="false" ht="21.75" hidden="false" customHeight="true" outlineLevel="0" collapsed="false">
      <c r="A9" s="16" t="s">
        <v>131</v>
      </c>
      <c r="B9" s="16"/>
      <c r="C9" s="16"/>
    </row>
    <row r="10" customFormat="false" ht="21.75" hidden="false" customHeight="true" outlineLevel="0" collapsed="false">
      <c r="A10" s="17" t="s">
        <v>74</v>
      </c>
      <c r="B10" s="17" t="s">
        <v>125</v>
      </c>
      <c r="C10" s="17" t="s">
        <v>126</v>
      </c>
    </row>
    <row r="11" customFormat="false" ht="16.5" hidden="false" customHeight="true" outlineLevel="0" collapsed="false">
      <c r="A11" s="18" t="s">
        <v>7</v>
      </c>
      <c r="B11" s="18" t="n">
        <v>18</v>
      </c>
      <c r="C11" s="18" t="s">
        <v>38</v>
      </c>
    </row>
    <row r="12" customFormat="false" ht="16.5" hidden="false" customHeight="true" outlineLevel="0" collapsed="false">
      <c r="A12" s="19" t="s">
        <v>104</v>
      </c>
      <c r="B12" s="19" t="n">
        <v>10</v>
      </c>
      <c r="C12" s="19" t="s">
        <v>40</v>
      </c>
    </row>
    <row r="13" customFormat="false" ht="16.5" hidden="false" customHeight="true" outlineLevel="0" collapsed="false">
      <c r="A13" s="18" t="s">
        <v>120</v>
      </c>
      <c r="B13" s="18" t="n">
        <v>9</v>
      </c>
      <c r="C13" s="18" t="s">
        <v>42</v>
      </c>
    </row>
    <row r="14" customFormat="false" ht="16.5" hidden="false" customHeight="true" outlineLevel="0" collapsed="false">
      <c r="A14" s="19" t="s">
        <v>65</v>
      </c>
      <c r="B14" s="19" t="n">
        <v>3</v>
      </c>
      <c r="C14" s="19" t="s">
        <v>132</v>
      </c>
    </row>
    <row r="15" customFormat="false" ht="16.5" hidden="false" customHeight="true" outlineLevel="0" collapsed="false">
      <c r="A15" s="18" t="s">
        <v>130</v>
      </c>
      <c r="B15" s="18" t="n">
        <f aca="false">SUM(B11:B14)</f>
        <v>40</v>
      </c>
      <c r="C15" s="18" t="s">
        <v>31</v>
      </c>
    </row>
    <row r="18" customFormat="false" ht="21.75" hidden="false" customHeight="true" outlineLevel="0" collapsed="false">
      <c r="A18" s="16" t="s">
        <v>133</v>
      </c>
      <c r="B18" s="16"/>
      <c r="C18" s="16"/>
    </row>
    <row r="19" customFormat="false" ht="21.75" hidden="false" customHeight="true" outlineLevel="0" collapsed="false">
      <c r="A19" s="17" t="s">
        <v>134</v>
      </c>
      <c r="B19" s="17" t="s">
        <v>125</v>
      </c>
      <c r="C19" s="17" t="s">
        <v>126</v>
      </c>
    </row>
    <row r="20" customFormat="false" ht="16.5" hidden="false" customHeight="true" outlineLevel="0" collapsed="false">
      <c r="A20" s="19" t="s">
        <v>83</v>
      </c>
      <c r="B20" s="19" t="n">
        <v>26</v>
      </c>
      <c r="C20" s="19" t="s">
        <v>44</v>
      </c>
    </row>
    <row r="21" customFormat="false" ht="16.5" hidden="false" customHeight="true" outlineLevel="0" collapsed="false">
      <c r="A21" s="18" t="s">
        <v>118</v>
      </c>
      <c r="B21" s="18" t="n">
        <v>11</v>
      </c>
      <c r="C21" s="18" t="s">
        <v>135</v>
      </c>
    </row>
    <row r="22" customFormat="false" ht="16.5" hidden="false" customHeight="true" outlineLevel="0" collapsed="false">
      <c r="A22" s="19" t="s">
        <v>108</v>
      </c>
      <c r="B22" s="19" t="n">
        <v>3</v>
      </c>
      <c r="C22" s="19" t="s">
        <v>132</v>
      </c>
    </row>
    <row r="23" customFormat="false" ht="16.5" hidden="false" customHeight="true" outlineLevel="0" collapsed="false">
      <c r="A23" s="18" t="s">
        <v>130</v>
      </c>
      <c r="B23" s="18" t="n">
        <f aca="false">SUM(B20:B22)</f>
        <v>40</v>
      </c>
      <c r="C23" s="18" t="s">
        <v>31</v>
      </c>
    </row>
    <row r="27" customFormat="false" ht="21.75" hidden="false" customHeight="true" outlineLevel="0" collapsed="false">
      <c r="A27" s="16" t="s">
        <v>136</v>
      </c>
      <c r="B27" s="16"/>
      <c r="C27" s="16"/>
    </row>
    <row r="28" customFormat="false" ht="21.75" hidden="false" customHeight="true" outlineLevel="0" collapsed="false">
      <c r="A28" s="17" t="s">
        <v>137</v>
      </c>
      <c r="B28" s="17" t="s">
        <v>125</v>
      </c>
      <c r="C28" s="17" t="s">
        <v>126</v>
      </c>
    </row>
    <row r="29" customFormat="false" ht="16.5" hidden="false" customHeight="true" outlineLevel="0" collapsed="false">
      <c r="A29" s="18" t="s">
        <v>88</v>
      </c>
      <c r="B29" s="18" t="n">
        <v>24</v>
      </c>
      <c r="C29" s="18" t="s">
        <v>46</v>
      </c>
    </row>
    <row r="30" customFormat="false" ht="16.5" hidden="false" customHeight="true" outlineLevel="0" collapsed="false">
      <c r="A30" s="19" t="s">
        <v>97</v>
      </c>
      <c r="B30" s="19" t="n">
        <v>13</v>
      </c>
      <c r="C30" s="19" t="s">
        <v>138</v>
      </c>
    </row>
    <row r="31" customFormat="false" ht="16.5" hidden="false" customHeight="true" outlineLevel="0" collapsed="false">
      <c r="A31" s="18" t="s">
        <v>121</v>
      </c>
      <c r="B31" s="18" t="n">
        <v>3</v>
      </c>
      <c r="C31" s="18" t="s">
        <v>132</v>
      </c>
    </row>
    <row r="32" customFormat="false" ht="16.5" hidden="false" customHeight="true" outlineLevel="0" collapsed="false">
      <c r="A32" s="19" t="s">
        <v>130</v>
      </c>
      <c r="B32" s="19" t="n">
        <f aca="false">SUM(B29:B31)</f>
        <v>40</v>
      </c>
      <c r="C32" s="19" t="s">
        <v>31</v>
      </c>
    </row>
  </sheetData>
  <mergeCells count="4">
    <mergeCell ref="A1:C1"/>
    <mergeCell ref="A9:C9"/>
    <mergeCell ref="A18:C18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88E5"/>
    <pageSetUpPr fitToPage="false"/>
  </sheetPr>
  <dimension ref="A1:E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16"/>
  </cols>
  <sheetData>
    <row r="1" customFormat="false" ht="21.75" hidden="false" customHeight="true" outlineLevel="0" collapsed="false">
      <c r="A1" s="16" t="s">
        <v>139</v>
      </c>
      <c r="B1" s="16"/>
      <c r="C1" s="16"/>
      <c r="D1" s="16"/>
      <c r="E1" s="16"/>
    </row>
    <row r="2" customFormat="false" ht="21.75" hidden="false" customHeight="true" outlineLevel="0" collapsed="false">
      <c r="A2" s="17" t="s">
        <v>140</v>
      </c>
      <c r="B2" s="17" t="s">
        <v>141</v>
      </c>
      <c r="C2" s="17" t="s">
        <v>142</v>
      </c>
      <c r="D2" s="17" t="s">
        <v>143</v>
      </c>
      <c r="E2" s="17" t="s">
        <v>144</v>
      </c>
    </row>
    <row r="3" customFormat="false" ht="16.5" hidden="false" customHeight="true" outlineLevel="0" collapsed="false">
      <c r="A3" s="18" t="s">
        <v>145</v>
      </c>
      <c r="B3" s="21" t="n">
        <v>2.02</v>
      </c>
      <c r="C3" s="18" t="n">
        <v>2.33</v>
      </c>
      <c r="D3" s="18" t="n">
        <v>1.84</v>
      </c>
      <c r="E3" s="18" t="s">
        <v>146</v>
      </c>
    </row>
    <row r="4" customFormat="false" ht="16.5" hidden="false" customHeight="true" outlineLevel="0" collapsed="false">
      <c r="A4" s="19" t="s">
        <v>147</v>
      </c>
      <c r="B4" s="22" t="n">
        <v>2.55</v>
      </c>
      <c r="C4" s="19" t="n">
        <v>2.73</v>
      </c>
      <c r="D4" s="19" t="n">
        <v>2.44</v>
      </c>
      <c r="E4" s="19" t="s">
        <v>148</v>
      </c>
    </row>
    <row r="5" customFormat="false" ht="16.5" hidden="false" customHeight="true" outlineLevel="0" collapsed="false">
      <c r="A5" s="18" t="s">
        <v>149</v>
      </c>
      <c r="B5" s="23" t="n">
        <v>3.48</v>
      </c>
      <c r="C5" s="18" t="n">
        <v>3.33</v>
      </c>
      <c r="D5" s="18" t="n">
        <v>3.56</v>
      </c>
      <c r="E5" s="18" t="s">
        <v>150</v>
      </c>
    </row>
    <row r="6" customFormat="false" ht="16.5" hidden="false" customHeight="true" outlineLevel="0" collapsed="false">
      <c r="A6" s="19" t="s">
        <v>120</v>
      </c>
      <c r="B6" s="24" t="n">
        <v>3.58</v>
      </c>
      <c r="C6" s="19" t="n">
        <v>4.2</v>
      </c>
      <c r="D6" s="19" t="n">
        <v>3.2</v>
      </c>
      <c r="E6" s="19" t="s">
        <v>151</v>
      </c>
    </row>
    <row r="7" customFormat="false" ht="16.5" hidden="false" customHeight="true" outlineLevel="0" collapsed="false">
      <c r="A7" s="18" t="s">
        <v>152</v>
      </c>
      <c r="B7" s="23" t="n">
        <v>4.65</v>
      </c>
      <c r="C7" s="18" t="n">
        <v>4.33</v>
      </c>
      <c r="D7" s="18" t="n">
        <v>4.84</v>
      </c>
      <c r="E7" s="18" t="s">
        <v>153</v>
      </c>
    </row>
    <row r="8" customFormat="false" ht="16.5" hidden="false" customHeight="true" outlineLevel="0" collapsed="false">
      <c r="A8" s="19" t="s">
        <v>62</v>
      </c>
      <c r="B8" s="25" t="n">
        <v>5.75</v>
      </c>
      <c r="C8" s="19" t="n">
        <v>5.2</v>
      </c>
      <c r="D8" s="19" t="n">
        <v>6.08</v>
      </c>
      <c r="E8" s="19" t="s">
        <v>154</v>
      </c>
    </row>
    <row r="9" customFormat="false" ht="16.5" hidden="false" customHeight="true" outlineLevel="0" collapsed="false">
      <c r="A9" s="18" t="s">
        <v>66</v>
      </c>
      <c r="B9" s="26" t="n">
        <v>5.97</v>
      </c>
      <c r="C9" s="18" t="n">
        <v>5.87</v>
      </c>
      <c r="D9" s="18" t="n">
        <v>6.04</v>
      </c>
      <c r="E9" s="18" t="s">
        <v>155</v>
      </c>
    </row>
    <row r="12" customFormat="false" ht="21.75" hidden="false" customHeight="true" outlineLevel="0" collapsed="false">
      <c r="A12" s="16" t="s">
        <v>156</v>
      </c>
      <c r="B12" s="16"/>
      <c r="C12" s="16"/>
    </row>
    <row r="13" customFormat="false" ht="21.75" hidden="false" customHeight="true" outlineLevel="0" collapsed="false">
      <c r="A13" s="17" t="s">
        <v>157</v>
      </c>
      <c r="B13" s="17" t="s">
        <v>125</v>
      </c>
      <c r="C13" s="17" t="s">
        <v>126</v>
      </c>
    </row>
    <row r="14" customFormat="false" ht="16.5" hidden="false" customHeight="true" outlineLevel="0" collapsed="false">
      <c r="A14" s="19" t="s">
        <v>158</v>
      </c>
      <c r="B14" s="19" t="n">
        <v>2</v>
      </c>
      <c r="C14" s="19" t="s">
        <v>159</v>
      </c>
    </row>
    <row r="15" customFormat="false" ht="16.5" hidden="false" customHeight="true" outlineLevel="0" collapsed="false">
      <c r="A15" s="18" t="s">
        <v>160</v>
      </c>
      <c r="B15" s="18" t="n">
        <v>18</v>
      </c>
      <c r="C15" s="18" t="s">
        <v>38</v>
      </c>
    </row>
    <row r="16" customFormat="false" ht="16.5" hidden="false" customHeight="true" outlineLevel="0" collapsed="false">
      <c r="A16" s="19" t="s">
        <v>18</v>
      </c>
      <c r="B16" s="19" t="n">
        <v>19</v>
      </c>
      <c r="C16" s="19" t="s">
        <v>50</v>
      </c>
    </row>
    <row r="17" customFormat="false" ht="16.5" hidden="false" customHeight="true" outlineLevel="0" collapsed="false">
      <c r="A17" s="18" t="s">
        <v>161</v>
      </c>
      <c r="B17" s="18" t="n">
        <v>1</v>
      </c>
      <c r="C17" s="18" t="s">
        <v>162</v>
      </c>
    </row>
    <row r="18" customFormat="false" ht="16.5" hidden="false" customHeight="true" outlineLevel="0" collapsed="false">
      <c r="A18" s="19" t="s">
        <v>130</v>
      </c>
      <c r="B18" s="19" t="n">
        <f aca="false">SUM(B14:B17)</f>
        <v>40</v>
      </c>
      <c r="C18" s="19" t="s">
        <v>31</v>
      </c>
    </row>
    <row r="22" customFormat="false" ht="21.75" hidden="false" customHeight="true" outlineLevel="0" collapsed="false">
      <c r="A22" s="16" t="s">
        <v>163</v>
      </c>
      <c r="B22" s="16"/>
      <c r="C22" s="16"/>
    </row>
    <row r="23" customFormat="false" ht="21.75" hidden="false" customHeight="true" outlineLevel="0" collapsed="false">
      <c r="A23" s="17" t="s">
        <v>164</v>
      </c>
      <c r="B23" s="17" t="s">
        <v>125</v>
      </c>
      <c r="C23" s="17" t="s">
        <v>126</v>
      </c>
    </row>
    <row r="24" customFormat="false" ht="16.5" hidden="false" customHeight="true" outlineLevel="0" collapsed="false">
      <c r="A24" s="19" t="s">
        <v>165</v>
      </c>
      <c r="B24" s="19" t="n">
        <v>3</v>
      </c>
      <c r="C24" s="19" t="s">
        <v>132</v>
      </c>
    </row>
    <row r="25" customFormat="false" ht="16.5" hidden="false" customHeight="true" outlineLevel="0" collapsed="false">
      <c r="A25" s="18" t="s">
        <v>166</v>
      </c>
      <c r="B25" s="18" t="n">
        <v>32</v>
      </c>
      <c r="C25" s="18" t="s">
        <v>48</v>
      </c>
    </row>
    <row r="26" customFormat="false" ht="16.5" hidden="false" customHeight="true" outlineLevel="0" collapsed="false">
      <c r="A26" s="19" t="s">
        <v>167</v>
      </c>
      <c r="B26" s="19" t="n">
        <v>5</v>
      </c>
      <c r="C26" s="19" t="s">
        <v>168</v>
      </c>
    </row>
    <row r="27" customFormat="false" ht="16.5" hidden="false" customHeight="true" outlineLevel="0" collapsed="false">
      <c r="A27" s="18" t="s">
        <v>130</v>
      </c>
      <c r="B27" s="18" t="n">
        <f aca="false">SUM(B24:B26)</f>
        <v>40</v>
      </c>
      <c r="C27" s="18" t="s">
        <v>31</v>
      </c>
    </row>
    <row r="30" customFormat="false" ht="21.75" hidden="false" customHeight="true" outlineLevel="0" collapsed="false">
      <c r="A30" s="16" t="s">
        <v>169</v>
      </c>
      <c r="B30" s="16"/>
      <c r="C30" s="16"/>
    </row>
    <row r="31" customFormat="false" ht="21.75" hidden="false" customHeight="true" outlineLevel="0" collapsed="false">
      <c r="A31" s="17" t="s">
        <v>170</v>
      </c>
      <c r="B31" s="17" t="s">
        <v>125</v>
      </c>
      <c r="C31" s="17" t="s">
        <v>126</v>
      </c>
    </row>
    <row r="32" customFormat="false" ht="16.5" hidden="false" customHeight="true" outlineLevel="0" collapsed="false">
      <c r="A32" s="19" t="s">
        <v>19</v>
      </c>
      <c r="B32" s="19" t="n">
        <v>29</v>
      </c>
      <c r="C32" s="19" t="s">
        <v>52</v>
      </c>
    </row>
    <row r="33" customFormat="false" ht="16.5" hidden="false" customHeight="true" outlineLevel="0" collapsed="false">
      <c r="A33" s="18" t="s">
        <v>171</v>
      </c>
      <c r="B33" s="18" t="n">
        <v>7</v>
      </c>
      <c r="C33" s="18" t="s">
        <v>172</v>
      </c>
    </row>
    <row r="34" customFormat="false" ht="16.5" hidden="false" customHeight="true" outlineLevel="0" collapsed="false">
      <c r="A34" s="19" t="s">
        <v>173</v>
      </c>
      <c r="B34" s="19" t="n">
        <v>4</v>
      </c>
      <c r="C34" s="19" t="s">
        <v>174</v>
      </c>
    </row>
    <row r="35" customFormat="false" ht="16.5" hidden="false" customHeight="true" outlineLevel="0" collapsed="false">
      <c r="A35" s="18" t="s">
        <v>130</v>
      </c>
      <c r="B35" s="18" t="n">
        <f aca="false">SUM(B32:B34)</f>
        <v>40</v>
      </c>
      <c r="C35" s="18" t="s">
        <v>31</v>
      </c>
    </row>
  </sheetData>
  <mergeCells count="4">
    <mergeCell ref="A1:E1"/>
    <mergeCell ref="A12:C12"/>
    <mergeCell ref="A22:C22"/>
    <mergeCell ref="A30:C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44AD"/>
    <pageSetUpPr fitToPage="fals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</cols>
  <sheetData>
    <row r="1" customFormat="false" ht="21.75" hidden="false" customHeight="true" outlineLevel="0" collapsed="false">
      <c r="A1" s="16" t="s">
        <v>175</v>
      </c>
      <c r="B1" s="16"/>
      <c r="C1" s="16"/>
    </row>
    <row r="2" customFormat="false" ht="21.75" hidden="false" customHeight="true" outlineLevel="0" collapsed="false">
      <c r="A2" s="17" t="s">
        <v>176</v>
      </c>
      <c r="B2" s="17" t="s">
        <v>125</v>
      </c>
      <c r="C2" s="17" t="s">
        <v>126</v>
      </c>
    </row>
    <row r="3" customFormat="false" ht="16.5" hidden="false" customHeight="true" outlineLevel="0" collapsed="false">
      <c r="A3" s="18" t="s">
        <v>83</v>
      </c>
      <c r="B3" s="18" t="n">
        <v>30</v>
      </c>
      <c r="C3" s="18" t="s">
        <v>177</v>
      </c>
    </row>
    <row r="4" customFormat="false" ht="16.5" hidden="false" customHeight="true" outlineLevel="0" collapsed="false">
      <c r="A4" s="19" t="s">
        <v>98</v>
      </c>
      <c r="B4" s="19" t="n">
        <v>8</v>
      </c>
      <c r="C4" s="19" t="s">
        <v>178</v>
      </c>
    </row>
    <row r="5" customFormat="false" ht="16.5" hidden="false" customHeight="true" outlineLevel="0" collapsed="false">
      <c r="A5" s="18" t="s">
        <v>117</v>
      </c>
      <c r="B5" s="18" t="n">
        <v>2</v>
      </c>
      <c r="C5" s="18" t="s">
        <v>159</v>
      </c>
    </row>
    <row r="9" customFormat="false" ht="21.75" hidden="false" customHeight="true" outlineLevel="0" collapsed="false">
      <c r="A9" s="16" t="s">
        <v>179</v>
      </c>
      <c r="B9" s="16"/>
      <c r="C9" s="16"/>
    </row>
    <row r="10" customFormat="false" ht="21.75" hidden="false" customHeight="true" outlineLevel="0" collapsed="false">
      <c r="A10" s="17" t="s">
        <v>176</v>
      </c>
      <c r="B10" s="17" t="s">
        <v>125</v>
      </c>
      <c r="C10" s="17" t="s">
        <v>126</v>
      </c>
    </row>
    <row r="11" customFormat="false" ht="16.5" hidden="false" customHeight="true" outlineLevel="0" collapsed="false">
      <c r="A11" s="18" t="s">
        <v>89</v>
      </c>
      <c r="B11" s="18" t="n">
        <v>24</v>
      </c>
      <c r="C11" s="18" t="s">
        <v>46</v>
      </c>
    </row>
    <row r="12" customFormat="false" ht="16.5" hidden="false" customHeight="true" outlineLevel="0" collapsed="false">
      <c r="A12" s="19" t="s">
        <v>111</v>
      </c>
      <c r="B12" s="19" t="n">
        <v>13</v>
      </c>
      <c r="C12" s="19" t="s">
        <v>138</v>
      </c>
    </row>
    <row r="13" customFormat="false" ht="16.5" hidden="false" customHeight="true" outlineLevel="0" collapsed="false">
      <c r="A13" s="18" t="s">
        <v>105</v>
      </c>
      <c r="B13" s="18" t="n">
        <v>3</v>
      </c>
      <c r="C13" s="18" t="s">
        <v>132</v>
      </c>
    </row>
    <row r="17" customFormat="false" ht="21.75" hidden="false" customHeight="true" outlineLevel="0" collapsed="false">
      <c r="A17" s="16" t="s">
        <v>180</v>
      </c>
      <c r="B17" s="16"/>
      <c r="C17" s="16"/>
    </row>
    <row r="18" customFormat="false" ht="21.75" hidden="false" customHeight="true" outlineLevel="0" collapsed="false">
      <c r="A18" s="17" t="s">
        <v>176</v>
      </c>
      <c r="B18" s="17" t="s">
        <v>125</v>
      </c>
      <c r="C18" s="17" t="s">
        <v>126</v>
      </c>
    </row>
    <row r="19" customFormat="false" ht="16.5" hidden="false" customHeight="true" outlineLevel="0" collapsed="false">
      <c r="A19" s="18" t="s">
        <v>106</v>
      </c>
      <c r="B19" s="18" t="n">
        <v>26</v>
      </c>
      <c r="C19" s="18" t="s">
        <v>44</v>
      </c>
    </row>
    <row r="20" customFormat="false" ht="16.5" hidden="false" customHeight="true" outlineLevel="0" collapsed="false">
      <c r="A20" s="19" t="s">
        <v>90</v>
      </c>
      <c r="B20" s="19" t="n">
        <v>13</v>
      </c>
      <c r="C20" s="19" t="s">
        <v>138</v>
      </c>
    </row>
    <row r="21" customFormat="false" ht="16.5" hidden="false" customHeight="true" outlineLevel="0" collapsed="false">
      <c r="A21" s="18" t="s">
        <v>112</v>
      </c>
      <c r="B21" s="18" t="n">
        <v>1</v>
      </c>
      <c r="C21" s="18" t="s">
        <v>162</v>
      </c>
    </row>
    <row r="25" customFormat="false" ht="21.75" hidden="false" customHeight="true" outlineLevel="0" collapsed="false">
      <c r="A25" s="16" t="s">
        <v>181</v>
      </c>
      <c r="B25" s="16"/>
      <c r="C25" s="16"/>
    </row>
    <row r="26" customFormat="false" ht="21.75" hidden="false" customHeight="true" outlineLevel="0" collapsed="false">
      <c r="A26" s="17" t="s">
        <v>176</v>
      </c>
      <c r="B26" s="17" t="s">
        <v>125</v>
      </c>
      <c r="C26" s="17" t="s">
        <v>126</v>
      </c>
    </row>
    <row r="27" customFormat="false" ht="16.5" hidden="false" customHeight="true" outlineLevel="0" collapsed="false">
      <c r="A27" s="18" t="s">
        <v>114</v>
      </c>
      <c r="B27" s="18" t="n">
        <v>19</v>
      </c>
      <c r="C27" s="18" t="s">
        <v>50</v>
      </c>
    </row>
    <row r="28" customFormat="false" ht="16.5" hidden="false" customHeight="true" outlineLevel="0" collapsed="false">
      <c r="A28" s="19" t="s">
        <v>91</v>
      </c>
      <c r="B28" s="19" t="n">
        <v>18</v>
      </c>
      <c r="C28" s="19" t="s">
        <v>38</v>
      </c>
    </row>
    <row r="29" customFormat="false" ht="16.5" hidden="false" customHeight="true" outlineLevel="0" collapsed="false">
      <c r="A29" s="18" t="s">
        <v>99</v>
      </c>
      <c r="B29" s="18" t="n">
        <v>3</v>
      </c>
      <c r="C29" s="18" t="s">
        <v>132</v>
      </c>
    </row>
    <row r="33" customFormat="false" ht="21.75" hidden="false" customHeight="true" outlineLevel="0" collapsed="false">
      <c r="A33" s="16" t="s">
        <v>182</v>
      </c>
      <c r="B33" s="16"/>
      <c r="C33" s="16"/>
    </row>
    <row r="34" customFormat="false" ht="21.75" hidden="false" customHeight="true" outlineLevel="0" collapsed="false">
      <c r="A34" s="17" t="s">
        <v>80</v>
      </c>
      <c r="B34" s="17" t="s">
        <v>125</v>
      </c>
      <c r="C34" s="17" t="s">
        <v>126</v>
      </c>
    </row>
    <row r="35" customFormat="false" ht="16.5" hidden="false" customHeight="true" outlineLevel="0" collapsed="false">
      <c r="A35" s="18" t="s">
        <v>183</v>
      </c>
      <c r="B35" s="18" t="n">
        <v>16</v>
      </c>
      <c r="C35" s="18" t="s">
        <v>56</v>
      </c>
    </row>
    <row r="36" customFormat="false" ht="16.5" hidden="false" customHeight="true" outlineLevel="0" collapsed="false">
      <c r="A36" s="19" t="s">
        <v>184</v>
      </c>
      <c r="B36" s="19" t="n">
        <v>14</v>
      </c>
      <c r="C36" s="19" t="s">
        <v>185</v>
      </c>
    </row>
    <row r="37" customFormat="false" ht="16.5" hidden="false" customHeight="true" outlineLevel="0" collapsed="false">
      <c r="A37" s="18" t="s">
        <v>186</v>
      </c>
      <c r="B37" s="18" t="n">
        <v>6</v>
      </c>
      <c r="C37" s="18" t="s">
        <v>187</v>
      </c>
    </row>
    <row r="38" customFormat="false" ht="16.5" hidden="false" customHeight="true" outlineLevel="0" collapsed="false">
      <c r="A38" s="19" t="s">
        <v>113</v>
      </c>
      <c r="B38" s="19" t="n">
        <v>4</v>
      </c>
      <c r="C38" s="19" t="s">
        <v>174</v>
      </c>
    </row>
    <row r="39" customFormat="false" ht="16.5" hidden="false" customHeight="true" outlineLevel="0" collapsed="false">
      <c r="A39" s="18" t="s">
        <v>130</v>
      </c>
      <c r="B39" s="18" t="n">
        <f aca="false">SUM(B35:B38)</f>
        <v>40</v>
      </c>
      <c r="C39" s="18" t="s">
        <v>31</v>
      </c>
    </row>
  </sheetData>
  <mergeCells count="5">
    <mergeCell ref="A1:C1"/>
    <mergeCell ref="A9:C9"/>
    <mergeCell ref="A17:C17"/>
    <mergeCell ref="A25:C25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7E22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14"/>
  </cols>
  <sheetData>
    <row r="1" customFormat="false" ht="21.75" hidden="false" customHeight="true" outlineLevel="0" collapsed="false">
      <c r="A1" s="16" t="s">
        <v>188</v>
      </c>
      <c r="B1" s="16"/>
      <c r="C1" s="16"/>
      <c r="D1" s="16"/>
    </row>
    <row r="2" customFormat="false" ht="21.75" hidden="false" customHeight="true" outlineLevel="0" collapsed="false">
      <c r="A2" s="17" t="s">
        <v>74</v>
      </c>
      <c r="B2" s="17" t="s">
        <v>127</v>
      </c>
      <c r="C2" s="17" t="s">
        <v>128</v>
      </c>
      <c r="D2" s="17" t="s">
        <v>189</v>
      </c>
    </row>
    <row r="3" customFormat="false" ht="16.5" hidden="false" customHeight="true" outlineLevel="0" collapsed="false">
      <c r="A3" s="18" t="s">
        <v>7</v>
      </c>
      <c r="B3" s="18" t="n">
        <v>10</v>
      </c>
      <c r="C3" s="18" t="n">
        <v>8</v>
      </c>
      <c r="D3" s="18" t="n">
        <f aca="false">B3+C3</f>
        <v>18</v>
      </c>
    </row>
    <row r="4" customFormat="false" ht="16.5" hidden="false" customHeight="true" outlineLevel="0" collapsed="false">
      <c r="A4" s="19" t="s">
        <v>104</v>
      </c>
      <c r="B4" s="19" t="n">
        <v>7</v>
      </c>
      <c r="C4" s="19" t="n">
        <v>3</v>
      </c>
      <c r="D4" s="19" t="n">
        <f aca="false">B4+C4</f>
        <v>10</v>
      </c>
    </row>
    <row r="5" customFormat="false" ht="16.5" hidden="false" customHeight="true" outlineLevel="0" collapsed="false">
      <c r="A5" s="18" t="s">
        <v>120</v>
      </c>
      <c r="B5" s="18" t="n">
        <v>6</v>
      </c>
      <c r="C5" s="18" t="n">
        <v>3</v>
      </c>
      <c r="D5" s="18" t="n">
        <f aca="false">B5+C5</f>
        <v>9</v>
      </c>
    </row>
    <row r="6" customFormat="false" ht="16.5" hidden="false" customHeight="true" outlineLevel="0" collapsed="false">
      <c r="A6" s="19" t="s">
        <v>65</v>
      </c>
      <c r="B6" s="19" t="n">
        <v>2</v>
      </c>
      <c r="C6" s="19" t="n">
        <v>1</v>
      </c>
      <c r="D6" s="19" t="n">
        <f aca="false">B6+C6</f>
        <v>3</v>
      </c>
    </row>
    <row r="7" customFormat="false" ht="16.5" hidden="false" customHeight="true" outlineLevel="0" collapsed="false">
      <c r="A7" s="18" t="s">
        <v>130</v>
      </c>
      <c r="B7" s="18" t="n">
        <f aca="false">SUM(B3:B6)</f>
        <v>25</v>
      </c>
      <c r="C7" s="18" t="n">
        <f aca="false">SUM(C3:C6)</f>
        <v>15</v>
      </c>
      <c r="D7" s="18" t="n">
        <f aca="false">SUM(D3:D6)</f>
        <v>40</v>
      </c>
    </row>
    <row r="11" customFormat="false" ht="21.75" hidden="false" customHeight="true" outlineLevel="0" collapsed="false">
      <c r="A11" s="16" t="s">
        <v>190</v>
      </c>
      <c r="B11" s="16"/>
      <c r="C11" s="16"/>
      <c r="D11" s="16"/>
    </row>
    <row r="12" customFormat="false" ht="21.75" hidden="false" customHeight="true" outlineLevel="0" collapsed="false">
      <c r="A12" s="17" t="s">
        <v>134</v>
      </c>
      <c r="B12" s="17" t="s">
        <v>127</v>
      </c>
      <c r="C12" s="17" t="s">
        <v>128</v>
      </c>
      <c r="D12" s="17" t="s">
        <v>189</v>
      </c>
    </row>
    <row r="13" customFormat="false" ht="16.5" hidden="false" customHeight="true" outlineLevel="0" collapsed="false">
      <c r="A13" s="18" t="s">
        <v>83</v>
      </c>
      <c r="B13" s="18" t="n">
        <v>16</v>
      </c>
      <c r="C13" s="18" t="n">
        <v>10</v>
      </c>
      <c r="D13" s="18" t="n">
        <f aca="false">B13+C13</f>
        <v>26</v>
      </c>
    </row>
    <row r="14" customFormat="false" ht="16.5" hidden="false" customHeight="true" outlineLevel="0" collapsed="false">
      <c r="A14" s="19" t="s">
        <v>118</v>
      </c>
      <c r="B14" s="19" t="n">
        <v>8</v>
      </c>
      <c r="C14" s="19" t="n">
        <v>3</v>
      </c>
      <c r="D14" s="19" t="n">
        <f aca="false">B14+C14</f>
        <v>11</v>
      </c>
    </row>
    <row r="15" customFormat="false" ht="16.5" hidden="false" customHeight="true" outlineLevel="0" collapsed="false">
      <c r="A15" s="18" t="s">
        <v>108</v>
      </c>
      <c r="B15" s="18" t="n">
        <v>1</v>
      </c>
      <c r="C15" s="18" t="n">
        <v>2</v>
      </c>
      <c r="D15" s="18" t="n">
        <f aca="false">B15+C15</f>
        <v>3</v>
      </c>
    </row>
    <row r="16" customFormat="false" ht="16.5" hidden="false" customHeight="true" outlineLevel="0" collapsed="false">
      <c r="A16" s="19" t="s">
        <v>130</v>
      </c>
      <c r="B16" s="19" t="n">
        <f aca="false">SUM(B13:B15)</f>
        <v>25</v>
      </c>
      <c r="C16" s="19" t="n">
        <f aca="false">SUM(C13:C15)</f>
        <v>15</v>
      </c>
      <c r="D16" s="19" t="n">
        <f aca="false">SUM(D13:D15)</f>
        <v>40</v>
      </c>
    </row>
  </sheetData>
  <mergeCells count="2">
    <mergeCell ref="A1:D1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A085"/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4"/>
    <col collapsed="false" customWidth="true" hidden="false" outlineLevel="0" max="4" min="4" style="0" width="22"/>
  </cols>
  <sheetData>
    <row r="1" customFormat="false" ht="21.75" hidden="false" customHeight="true" outlineLevel="0" collapsed="false">
      <c r="A1" s="16" t="s">
        <v>191</v>
      </c>
      <c r="B1" s="16"/>
      <c r="C1" s="16"/>
      <c r="D1" s="16"/>
    </row>
    <row r="2" customFormat="false" ht="21.75" hidden="false" customHeight="true" outlineLevel="0" collapsed="false">
      <c r="A2" s="17" t="s">
        <v>192</v>
      </c>
      <c r="B2" s="17" t="s">
        <v>125</v>
      </c>
      <c r="C2" s="17" t="s">
        <v>126</v>
      </c>
      <c r="D2" s="17" t="s">
        <v>193</v>
      </c>
    </row>
    <row r="3" customFormat="false" ht="16.5" hidden="false" customHeight="true" outlineLevel="0" collapsed="false">
      <c r="A3" s="18" t="s">
        <v>194</v>
      </c>
      <c r="B3" s="18" t="n">
        <v>7</v>
      </c>
      <c r="C3" s="18" t="s">
        <v>172</v>
      </c>
      <c r="D3" s="18" t="s">
        <v>195</v>
      </c>
    </row>
    <row r="4" customFormat="false" ht="16.5" hidden="false" customHeight="true" outlineLevel="0" collapsed="false">
      <c r="A4" s="19" t="s">
        <v>196</v>
      </c>
      <c r="B4" s="19" t="n">
        <v>16</v>
      </c>
      <c r="C4" s="19" t="s">
        <v>56</v>
      </c>
      <c r="D4" s="19" t="s">
        <v>7</v>
      </c>
    </row>
    <row r="5" customFormat="false" ht="16.5" hidden="false" customHeight="true" outlineLevel="0" collapsed="false">
      <c r="A5" s="18" t="s">
        <v>197</v>
      </c>
      <c r="B5" s="18" t="n">
        <v>13</v>
      </c>
      <c r="C5" s="18" t="s">
        <v>138</v>
      </c>
      <c r="D5" s="18" t="s">
        <v>7</v>
      </c>
    </row>
    <row r="6" customFormat="false" ht="16.5" hidden="false" customHeight="true" outlineLevel="0" collapsed="false">
      <c r="A6" s="19" t="s">
        <v>198</v>
      </c>
      <c r="B6" s="19" t="n">
        <v>4</v>
      </c>
      <c r="C6" s="19" t="s">
        <v>174</v>
      </c>
      <c r="D6" s="19" t="s">
        <v>199</v>
      </c>
    </row>
    <row r="7" customFormat="false" ht="16.5" hidden="false" customHeight="true" outlineLevel="0" collapsed="false">
      <c r="A7" s="18" t="s">
        <v>130</v>
      </c>
      <c r="B7" s="18" t="n">
        <f aca="false">SUM(B3:B6)</f>
        <v>40</v>
      </c>
      <c r="C7" s="18" t="s">
        <v>31</v>
      </c>
      <c r="D7" s="18" t="s">
        <v>200</v>
      </c>
    </row>
    <row r="11" customFormat="false" ht="21.75" hidden="false" customHeight="true" outlineLevel="0" collapsed="false">
      <c r="A11" s="16" t="s">
        <v>201</v>
      </c>
      <c r="B11" s="16"/>
      <c r="C11" s="16"/>
    </row>
    <row r="12" customFormat="false" ht="21.75" hidden="false" customHeight="true" outlineLevel="0" collapsed="false">
      <c r="A12" s="17" t="s">
        <v>202</v>
      </c>
      <c r="B12" s="17" t="s">
        <v>125</v>
      </c>
      <c r="C12" s="17" t="s">
        <v>126</v>
      </c>
    </row>
    <row r="13" customFormat="false" ht="16.5" hidden="false" customHeight="true" outlineLevel="0" collapsed="false">
      <c r="A13" s="18" t="s">
        <v>203</v>
      </c>
      <c r="B13" s="18" t="n">
        <v>25</v>
      </c>
      <c r="C13" s="18" t="s">
        <v>54</v>
      </c>
    </row>
    <row r="14" customFormat="false" ht="16.5" hidden="false" customHeight="true" outlineLevel="0" collapsed="false">
      <c r="A14" s="19" t="s">
        <v>204</v>
      </c>
      <c r="B14" s="19" t="n">
        <v>14</v>
      </c>
      <c r="C14" s="19" t="s">
        <v>185</v>
      </c>
    </row>
    <row r="15" customFormat="false" ht="16.5" hidden="false" customHeight="true" outlineLevel="0" collapsed="false">
      <c r="A15" s="18" t="s">
        <v>94</v>
      </c>
      <c r="B15" s="18" t="n">
        <v>1</v>
      </c>
      <c r="C15" s="18" t="s">
        <v>162</v>
      </c>
    </row>
    <row r="16" customFormat="false" ht="16.5" hidden="false" customHeight="true" outlineLevel="0" collapsed="false">
      <c r="A16" s="19" t="s">
        <v>130</v>
      </c>
      <c r="B16" s="19" t="n">
        <f aca="false">SUM(B13:B15)</f>
        <v>40</v>
      </c>
      <c r="C16" s="19" t="s">
        <v>31</v>
      </c>
    </row>
  </sheetData>
  <mergeCells count="2">
    <mergeCell ref="A1:D1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2026-03-29T09:51:55Z</dcterms:created>
  <dc:creator>openpyxl</dc:creator>
  <dc:description/>
  <dc:language>en-US</dc:language>
  <cp:lastModifiedBy/>
  <dcterms:modified xsi:type="dcterms:W3CDTF">2026-03-29T09:52:03Z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